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科研\研究中\Dynamic-AM-Postpone\FINAL251217\Results\"/>
    </mc:Choice>
  </mc:AlternateContent>
  <xr:revisionPtr revIDLastSave="0" documentId="13_ncr:1_{1B60531D-6186-4459-A6EE-B8E9BD00136F}" xr6:coauthVersionLast="47" xr6:coauthVersionMax="47" xr10:uidLastSave="{00000000-0000-0000-0000-000000000000}"/>
  <bookViews>
    <workbookView xWindow="-110" yWindow="-110" windowWidth="25820" windowHeight="14020" activeTab="2" xr2:uid="{00000000-000D-0000-FFFF-FFFF00000000}"/>
  </bookViews>
  <sheets>
    <sheet name="数据36" sheetId="1" r:id="rId1"/>
    <sheet name="数据72" sheetId="2" r:id="rId2"/>
    <sheet name="数据144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8" i="1"/>
  <c r="K13" i="1"/>
  <c r="K18" i="1"/>
  <c r="K23" i="1"/>
  <c r="K28" i="1"/>
  <c r="K33" i="1"/>
  <c r="K38" i="1"/>
  <c r="K43" i="1"/>
  <c r="K8" i="3" l="1"/>
  <c r="L8" i="3" s="1"/>
  <c r="K13" i="3"/>
  <c r="L13" i="3" s="1"/>
  <c r="K18" i="3"/>
  <c r="L18" i="3" s="1"/>
  <c r="K23" i="3"/>
  <c r="K28" i="3"/>
  <c r="L28" i="3" s="1"/>
  <c r="K33" i="3"/>
  <c r="K38" i="3"/>
  <c r="K43" i="3"/>
  <c r="L43" i="3" s="1"/>
  <c r="K3" i="3"/>
  <c r="L3" i="3" s="1"/>
  <c r="K8" i="2"/>
  <c r="L8" i="2" s="1"/>
  <c r="K13" i="2"/>
  <c r="L13" i="2" s="1"/>
  <c r="K18" i="2"/>
  <c r="L18" i="2" s="1"/>
  <c r="K23" i="2"/>
  <c r="L23" i="2" s="1"/>
  <c r="K28" i="2"/>
  <c r="L28" i="2" s="1"/>
  <c r="K33" i="2"/>
  <c r="L33" i="2" s="1"/>
  <c r="K38" i="2"/>
  <c r="L38" i="2" s="1"/>
  <c r="K43" i="2"/>
  <c r="L43" i="2" s="1"/>
  <c r="K3" i="2"/>
  <c r="L3" i="2" s="1"/>
  <c r="T3" i="4"/>
  <c r="L43" i="1"/>
  <c r="L18" i="1"/>
  <c r="L23" i="3" l="1"/>
  <c r="L33" i="3"/>
  <c r="L38" i="3"/>
  <c r="L3" i="1"/>
  <c r="L33" i="1"/>
  <c r="L28" i="1"/>
  <c r="L23" i="1"/>
  <c r="L38" i="1"/>
  <c r="L13" i="1"/>
  <c r="L8" i="1"/>
  <c r="L3" i="4"/>
  <c r="H3" i="4"/>
  <c r="P3" i="4"/>
  <c r="G49" i="3"/>
  <c r="R3" i="4"/>
  <c r="J3" i="4"/>
  <c r="E49" i="2"/>
  <c r="F3" i="4"/>
  <c r="D3" i="4"/>
  <c r="N3" i="4"/>
  <c r="G49" i="1"/>
  <c r="O3" i="4" l="1"/>
  <c r="B3" i="4"/>
  <c r="I3" i="4" l="1"/>
  <c r="K3" i="4"/>
  <c r="C3" i="4"/>
  <c r="U3" i="4"/>
  <c r="G3" i="4"/>
  <c r="E3" i="4"/>
  <c r="Q3" i="4"/>
  <c r="M3" i="4"/>
  <c r="S3" i="4"/>
</calcChain>
</file>

<file path=xl/sharedStrings.xml><?xml version="1.0" encoding="utf-8"?>
<sst xmlns="http://schemas.openxmlformats.org/spreadsheetml/2006/main" count="78" uniqueCount="21">
  <si>
    <t>OUR APPROACH</t>
  </si>
  <si>
    <t>while_available</t>
  </si>
  <si>
    <t>full_capacity</t>
  </si>
  <si>
    <t>AVG</t>
  </si>
  <si>
    <t>MAX</t>
  </si>
  <si>
    <t>MIN</t>
  </si>
  <si>
    <t>Uniform</t>
  </si>
  <si>
    <t>Small-dominant</t>
  </si>
  <si>
    <t>Large-dominant</t>
  </si>
  <si>
    <t>val.</t>
    <phoneticPr fontId="3" type="noConversion"/>
  </si>
  <si>
    <t>Entire Decisions</t>
    <phoneticPr fontId="3" type="noConversion"/>
  </si>
  <si>
    <t>T</t>
    <phoneticPr fontId="5" type="noConversion"/>
  </si>
  <si>
    <t>Arrival</t>
    <phoneticPr fontId="5" type="noConversion"/>
  </si>
  <si>
    <t>Ins. ID</t>
    <phoneticPr fontId="5" type="noConversion"/>
  </si>
  <si>
    <t>val.</t>
    <phoneticPr fontId="5" type="noConversion"/>
  </si>
  <si>
    <t>mcts_time</t>
  </si>
  <si>
    <t>sim_time</t>
    <phoneticPr fontId="5" type="noConversion"/>
  </si>
  <si>
    <t>#1</t>
    <phoneticPr fontId="5" type="noConversion"/>
  </si>
  <si>
    <t>#2</t>
  </si>
  <si>
    <t>#3</t>
  </si>
  <si>
    <t>Gap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</si>
</sst>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8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10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/>
    </xf>
    <xf numFmtId="176" fontId="0" fillId="2" borderId="0" xfId="0" applyNumberFormat="1" applyFill="1">
      <alignment vertical="center"/>
    </xf>
    <xf numFmtId="176" fontId="0" fillId="2" borderId="7" xfId="0" applyNumberFormat="1" applyFill="1" applyBorder="1">
      <alignment vertical="center"/>
    </xf>
    <xf numFmtId="176" fontId="0" fillId="3" borderId="6" xfId="0" applyNumberFormat="1" applyFill="1" applyBorder="1">
      <alignment vertical="center"/>
    </xf>
    <xf numFmtId="176" fontId="0" fillId="3" borderId="0" xfId="0" applyNumberFormat="1" applyFill="1">
      <alignment vertical="center"/>
    </xf>
    <xf numFmtId="176" fontId="0" fillId="3" borderId="7" xfId="0" applyNumberFormat="1" applyFill="1" applyBorder="1">
      <alignment vertical="center"/>
    </xf>
    <xf numFmtId="176" fontId="1" fillId="0" borderId="0" xfId="0" applyNumberFormat="1" applyFont="1">
      <alignment vertical="center"/>
    </xf>
    <xf numFmtId="176" fontId="0" fillId="5" borderId="6" xfId="0" applyNumberFormat="1" applyFill="1" applyBorder="1" applyAlignment="1">
      <alignment horizontal="center" vertical="center"/>
    </xf>
    <xf numFmtId="176" fontId="0" fillId="5" borderId="1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0" fontId="0" fillId="0" borderId="0" xfId="0" applyNumberFormat="1">
      <alignment vertical="center"/>
    </xf>
    <xf numFmtId="10" fontId="2" fillId="0" borderId="0" xfId="0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4" fillId="6" borderId="8" xfId="0" applyNumberFormat="1" applyFont="1" applyFill="1" applyBorder="1" applyAlignment="1">
      <alignment horizontal="center" vertical="center"/>
    </xf>
    <xf numFmtId="10" fontId="4" fillId="6" borderId="1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4" fillId="6" borderId="2" xfId="0" applyNumberFormat="1" applyFont="1" applyFill="1" applyBorder="1" applyAlignment="1">
      <alignment horizontal="center" vertical="center"/>
    </xf>
    <xf numFmtId="177" fontId="0" fillId="5" borderId="6" xfId="0" applyNumberFormat="1" applyFill="1" applyBorder="1" applyAlignment="1">
      <alignment horizontal="center" vertical="center"/>
    </xf>
    <xf numFmtId="177" fontId="0" fillId="5" borderId="11" xfId="0" applyNumberFormat="1" applyFill="1" applyBorder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6" fontId="4" fillId="6" borderId="9" xfId="0" applyNumberFormat="1" applyFont="1" applyFill="1" applyBorder="1" applyAlignment="1">
      <alignment horizontal="center" vertical="center"/>
    </xf>
    <xf numFmtId="176" fontId="4" fillId="6" borderId="10" xfId="0" applyNumberFormat="1" applyFont="1" applyFill="1" applyBorder="1" applyAlignment="1">
      <alignment horizontal="center" vertical="center"/>
    </xf>
    <xf numFmtId="176" fontId="6" fillId="5" borderId="2" xfId="0" applyNumberFormat="1" applyFont="1" applyFill="1" applyBorder="1" applyAlignment="1">
      <alignment horizontal="center" vertical="center"/>
    </xf>
    <xf numFmtId="176" fontId="6" fillId="5" borderId="3" xfId="0" applyNumberFormat="1" applyFont="1" applyFill="1" applyBorder="1" applyAlignment="1">
      <alignment horizontal="center" vertical="center"/>
    </xf>
    <xf numFmtId="176" fontId="6" fillId="5" borderId="6" xfId="0" applyNumberFormat="1" applyFont="1" applyFill="1" applyBorder="1" applyAlignment="1">
      <alignment horizontal="center" vertical="center"/>
    </xf>
    <xf numFmtId="176" fontId="6" fillId="5" borderId="0" xfId="0" applyNumberFormat="1" applyFont="1" applyFill="1" applyAlignment="1">
      <alignment horizontal="center" vertical="center"/>
    </xf>
    <xf numFmtId="176" fontId="6" fillId="5" borderId="11" xfId="0" applyNumberFormat="1" applyFont="1" applyFill="1" applyBorder="1" applyAlignment="1">
      <alignment horizontal="center" vertical="center"/>
    </xf>
    <xf numFmtId="176" fontId="6" fillId="5" borderId="12" xfId="0" applyNumberFormat="1" applyFont="1" applyFill="1" applyBorder="1" applyAlignment="1">
      <alignment horizontal="center" vertical="center"/>
    </xf>
    <xf numFmtId="177" fontId="6" fillId="5" borderId="3" xfId="0" applyNumberFormat="1" applyFont="1" applyFill="1" applyBorder="1" applyAlignment="1">
      <alignment horizontal="center" vertical="center"/>
    </xf>
    <xf numFmtId="177" fontId="6" fillId="5" borderId="0" xfId="0" applyNumberFormat="1" applyFont="1" applyFill="1" applyAlignment="1">
      <alignment horizontal="center" vertical="center"/>
    </xf>
    <xf numFmtId="177" fontId="6" fillId="5" borderId="12" xfId="0" applyNumberFormat="1" applyFont="1" applyFill="1" applyBorder="1" applyAlignment="1">
      <alignment horizontal="center" vertical="center"/>
    </xf>
    <xf numFmtId="176" fontId="4" fillId="6" borderId="3" xfId="0" applyNumberFormat="1" applyFont="1" applyFill="1" applyBorder="1" applyAlignment="1">
      <alignment horizontal="center" vertical="center"/>
    </xf>
    <xf numFmtId="176" fontId="4" fillId="6" borderId="4" xfId="0" applyNumberFormat="1" applyFont="1" applyFill="1" applyBorder="1" applyAlignment="1">
      <alignment horizontal="center" vertical="center"/>
    </xf>
    <xf numFmtId="176" fontId="0" fillId="5" borderId="2" xfId="0" applyNumberFormat="1" applyFill="1" applyBorder="1">
      <alignment vertical="center"/>
    </xf>
    <xf numFmtId="176" fontId="0" fillId="5" borderId="3" xfId="0" applyNumberFormat="1" applyFill="1" applyBorder="1">
      <alignment vertical="center"/>
    </xf>
    <xf numFmtId="176" fontId="0" fillId="5" borderId="4" xfId="0" applyNumberFormat="1" applyFill="1" applyBorder="1">
      <alignment vertical="center"/>
    </xf>
    <xf numFmtId="176" fontId="0" fillId="5" borderId="6" xfId="0" applyNumberFormat="1" applyFill="1" applyBorder="1">
      <alignment vertical="center"/>
    </xf>
    <xf numFmtId="176" fontId="0" fillId="5" borderId="0" xfId="0" applyNumberFormat="1" applyFill="1">
      <alignment vertical="center"/>
    </xf>
    <xf numFmtId="176" fontId="0" fillId="5" borderId="7" xfId="0" applyNumberFormat="1" applyFill="1" applyBorder="1">
      <alignment vertical="center"/>
    </xf>
    <xf numFmtId="176" fontId="0" fillId="5" borderId="11" xfId="0" applyNumberFormat="1" applyFill="1" applyBorder="1">
      <alignment vertical="center"/>
    </xf>
    <xf numFmtId="176" fontId="0" fillId="5" borderId="12" xfId="0" applyNumberFormat="1" applyFill="1" applyBorder="1">
      <alignment vertical="center"/>
    </xf>
    <xf numFmtId="176" fontId="0" fillId="5" borderId="13" xfId="0" applyNumberFormat="1" applyFill="1" applyBorder="1">
      <alignment vertical="center"/>
    </xf>
    <xf numFmtId="176" fontId="6" fillId="5" borderId="6" xfId="0" applyNumberFormat="1" applyFont="1" applyFill="1" applyBorder="1">
      <alignment vertical="center"/>
    </xf>
    <xf numFmtId="176" fontId="6" fillId="5" borderId="0" xfId="0" applyNumberFormat="1" applyFont="1" applyFill="1">
      <alignment vertical="center"/>
    </xf>
    <xf numFmtId="176" fontId="6" fillId="5" borderId="7" xfId="0" applyNumberFormat="1" applyFont="1" applyFill="1" applyBorder="1">
      <alignment vertical="center"/>
    </xf>
    <xf numFmtId="176" fontId="0" fillId="4" borderId="2" xfId="0" applyNumberFormat="1" applyFill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6" fontId="0" fillId="5" borderId="7" xfId="0" applyNumberFormat="1" applyFill="1" applyBorder="1" applyAlignment="1">
      <alignment horizontal="center" vertical="center"/>
    </xf>
    <xf numFmtId="176" fontId="0" fillId="5" borderId="13" xfId="0" applyNumberFormat="1" applyFill="1" applyBorder="1" applyAlignment="1">
      <alignment horizontal="center" vertical="center"/>
    </xf>
    <xf numFmtId="176" fontId="4" fillId="7" borderId="2" xfId="0" applyNumberFormat="1" applyFont="1" applyFill="1" applyBorder="1" applyAlignment="1">
      <alignment horizontal="center" vertical="center"/>
    </xf>
    <xf numFmtId="176" fontId="0" fillId="7" borderId="4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176" fontId="7" fillId="5" borderId="6" xfId="0" applyNumberFormat="1" applyFont="1" applyFill="1" applyBorder="1" applyAlignment="1">
      <alignment horizontal="center" vertical="center"/>
    </xf>
    <xf numFmtId="176" fontId="7" fillId="5" borderId="11" xfId="0" applyNumberFormat="1" applyFont="1" applyFill="1" applyBorder="1" applyAlignment="1">
      <alignment horizontal="center" vertical="center"/>
    </xf>
    <xf numFmtId="176" fontId="4" fillId="5" borderId="2" xfId="0" applyNumberFormat="1" applyFont="1" applyFill="1" applyBorder="1" applyAlignment="1">
      <alignment horizontal="center" vertical="center"/>
    </xf>
    <xf numFmtId="176" fontId="4" fillId="5" borderId="6" xfId="0" applyNumberFormat="1" applyFont="1" applyFill="1" applyBorder="1" applyAlignment="1">
      <alignment horizontal="center" vertical="center"/>
    </xf>
    <xf numFmtId="176" fontId="4" fillId="5" borderId="11" xfId="0" applyNumberFormat="1" applyFont="1" applyFill="1" applyBorder="1" applyAlignment="1">
      <alignment horizontal="center" vertical="center"/>
    </xf>
    <xf numFmtId="176" fontId="7" fillId="5" borderId="3" xfId="0" applyNumberFormat="1" applyFont="1" applyFill="1" applyBorder="1" applyAlignment="1">
      <alignment horizontal="center" vertical="center"/>
    </xf>
    <xf numFmtId="176" fontId="7" fillId="5" borderId="0" xfId="0" applyNumberFormat="1" applyFont="1" applyFill="1" applyAlignment="1">
      <alignment horizontal="center" vertical="center"/>
    </xf>
    <xf numFmtId="176" fontId="7" fillId="5" borderId="12" xfId="0" applyNumberFormat="1" applyFont="1" applyFill="1" applyBorder="1" applyAlignment="1">
      <alignment horizontal="center" vertical="center"/>
    </xf>
    <xf numFmtId="176" fontId="0" fillId="5" borderId="3" xfId="0" applyNumberFormat="1" applyFill="1" applyBorder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176" fontId="0" fillId="5" borderId="12" xfId="0" applyNumberFormat="1" applyFill="1" applyBorder="1" applyAlignment="1">
      <alignment horizontal="center" vertical="center"/>
    </xf>
    <xf numFmtId="176" fontId="0" fillId="5" borderId="4" xfId="0" applyNumberFormat="1" applyFill="1" applyBorder="1" applyAlignment="1">
      <alignment horizontal="center" vertical="center"/>
    </xf>
    <xf numFmtId="177" fontId="4" fillId="7" borderId="2" xfId="0" applyNumberFormat="1" applyFont="1" applyFill="1" applyBorder="1" applyAlignment="1">
      <alignment horizontal="center" vertical="center"/>
    </xf>
    <xf numFmtId="177" fontId="4" fillId="7" borderId="3" xfId="0" applyNumberFormat="1" applyFont="1" applyFill="1" applyBorder="1" applyAlignment="1">
      <alignment horizontal="center" vertical="center"/>
    </xf>
    <xf numFmtId="176" fontId="0" fillId="7" borderId="3" xfId="0" applyNumberFormat="1" applyFill="1" applyBorder="1" applyAlignment="1">
      <alignment horizontal="center" vertical="center"/>
    </xf>
    <xf numFmtId="10" fontId="4" fillId="7" borderId="6" xfId="0" applyNumberFormat="1" applyFont="1" applyFill="1" applyBorder="1" applyAlignment="1">
      <alignment horizontal="center" vertical="center"/>
    </xf>
    <xf numFmtId="10" fontId="0" fillId="7" borderId="6" xfId="0" applyNumberFormat="1" applyFill="1" applyBorder="1" applyAlignment="1">
      <alignment horizontal="center" vertical="center"/>
    </xf>
    <xf numFmtId="10" fontId="0" fillId="5" borderId="6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6" fontId="0" fillId="5" borderId="2" xfId="0" applyNumberFormat="1" applyFill="1" applyBorder="1" applyAlignment="1">
      <alignment horizontal="center" vertical="center"/>
    </xf>
    <xf numFmtId="176" fontId="0" fillId="5" borderId="6" xfId="0" applyNumberFormat="1" applyFill="1" applyBorder="1" applyAlignment="1">
      <alignment horizontal="center" vertical="center"/>
    </xf>
    <xf numFmtId="176" fontId="0" fillId="5" borderId="11" xfId="0" applyNumberFormat="1" applyFill="1" applyBorder="1" applyAlignment="1">
      <alignment horizontal="center" vertical="center"/>
    </xf>
    <xf numFmtId="176" fontId="4" fillId="7" borderId="6" xfId="0" applyNumberFormat="1" applyFont="1" applyFill="1" applyBorder="1" applyAlignment="1">
      <alignment horizontal="center" vertical="center"/>
    </xf>
    <xf numFmtId="176" fontId="0" fillId="7" borderId="6" xfId="0" applyNumberFormat="1" applyFill="1" applyBorder="1" applyAlignment="1">
      <alignment horizontal="center" vertical="center"/>
    </xf>
    <xf numFmtId="177" fontId="0" fillId="5" borderId="3" xfId="0" applyNumberFormat="1" applyFill="1" applyBorder="1" applyAlignment="1">
      <alignment horizontal="center" vertical="center"/>
    </xf>
    <xf numFmtId="177" fontId="0" fillId="5" borderId="0" xfId="0" applyNumberFormat="1" applyFill="1" applyAlignment="1">
      <alignment horizontal="center" vertical="center"/>
    </xf>
    <xf numFmtId="177" fontId="0" fillId="5" borderId="12" xfId="0" applyNumberFormat="1" applyFill="1" applyBorder="1" applyAlignment="1">
      <alignment horizontal="center" vertical="center"/>
    </xf>
    <xf numFmtId="177" fontId="0" fillId="5" borderId="4" xfId="0" applyNumberFormat="1" applyFill="1" applyBorder="1" applyAlignment="1">
      <alignment horizontal="center" vertical="center"/>
    </xf>
    <xf numFmtId="177" fontId="0" fillId="5" borderId="7" xfId="0" applyNumberFormat="1" applyFill="1" applyBorder="1" applyAlignment="1">
      <alignment horizontal="center" vertical="center"/>
    </xf>
    <xf numFmtId="177" fontId="0" fillId="5" borderId="13" xfId="0" applyNumberFormat="1" applyFill="1" applyBorder="1" applyAlignment="1">
      <alignment horizontal="center" vertical="center"/>
    </xf>
    <xf numFmtId="177" fontId="7" fillId="5" borderId="2" xfId="0" applyNumberFormat="1" applyFont="1" applyFill="1" applyBorder="1" applyAlignment="1">
      <alignment horizontal="center" vertical="center"/>
    </xf>
    <xf numFmtId="177" fontId="7" fillId="5" borderId="6" xfId="0" applyNumberFormat="1" applyFont="1" applyFill="1" applyBorder="1" applyAlignment="1">
      <alignment horizontal="center" vertical="center"/>
    </xf>
    <xf numFmtId="177" fontId="7" fillId="5" borderId="11" xfId="0" applyNumberFormat="1" applyFont="1" applyFill="1" applyBorder="1" applyAlignment="1">
      <alignment horizontal="center" vertical="center"/>
    </xf>
    <xf numFmtId="177" fontId="0" fillId="5" borderId="2" xfId="0" applyNumberFormat="1" applyFill="1" applyBorder="1" applyAlignment="1">
      <alignment horizontal="center" vertical="center"/>
    </xf>
    <xf numFmtId="177" fontId="0" fillId="5" borderId="6" xfId="0" applyNumberFormat="1" applyFill="1" applyBorder="1" applyAlignment="1">
      <alignment horizontal="center" vertical="center"/>
    </xf>
    <xf numFmtId="177" fontId="0" fillId="5" borderId="11" xfId="0" applyNumberFormat="1" applyFill="1" applyBorder="1" applyAlignment="1">
      <alignment horizontal="center" vertical="center"/>
    </xf>
    <xf numFmtId="177" fontId="4" fillId="5" borderId="2" xfId="0" applyNumberFormat="1" applyFont="1" applyFill="1" applyBorder="1" applyAlignment="1">
      <alignment horizontal="center" vertical="center"/>
    </xf>
    <xf numFmtId="177" fontId="4" fillId="5" borderId="6" xfId="0" applyNumberFormat="1" applyFont="1" applyFill="1" applyBorder="1" applyAlignment="1">
      <alignment horizontal="center" vertical="center"/>
    </xf>
    <xf numFmtId="177" fontId="4" fillId="5" borderId="11" xfId="0" applyNumberFormat="1" applyFont="1" applyFill="1" applyBorder="1" applyAlignment="1">
      <alignment horizontal="center" vertical="center"/>
    </xf>
    <xf numFmtId="176" fontId="0" fillId="4" borderId="3" xfId="0" applyNumberFormat="1" applyFill="1" applyBorder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zoomScale="70" zoomScaleNormal="70" workbookViewId="0">
      <selection activeCell="D2" sqref="D1:D1048576"/>
    </sheetView>
  </sheetViews>
  <sheetFormatPr defaultColWidth="9" defaultRowHeight="14" x14ac:dyDescent="0.25"/>
  <cols>
    <col min="1" max="3" width="9" style="11"/>
    <col min="4" max="5" width="9.1796875" style="14" customWidth="1"/>
    <col min="6" max="6" width="9.1796875" style="24" customWidth="1"/>
    <col min="7" max="7" width="9.6328125" style="12" customWidth="1"/>
    <col min="8" max="11" width="9.1796875" style="12" customWidth="1"/>
    <col min="12" max="12" width="9.1796875" style="15" customWidth="1"/>
    <col min="13" max="13" width="9" style="12"/>
    <col min="14" max="16384" width="9" style="11"/>
  </cols>
  <sheetData>
    <row r="1" spans="1:12" ht="14.5" thickBot="1" x14ac:dyDescent="0.3">
      <c r="A1" s="57" t="s">
        <v>11</v>
      </c>
      <c r="B1" s="58" t="s">
        <v>12</v>
      </c>
      <c r="C1" s="57" t="s">
        <v>13</v>
      </c>
      <c r="D1" s="73" t="s">
        <v>0</v>
      </c>
      <c r="E1" s="74"/>
      <c r="F1" s="74"/>
      <c r="G1" s="75"/>
      <c r="H1" s="75"/>
      <c r="I1" s="56"/>
      <c r="J1" s="55" t="s">
        <v>10</v>
      </c>
      <c r="K1" s="56"/>
      <c r="L1" s="76" t="s">
        <v>20</v>
      </c>
    </row>
    <row r="2" spans="1:12" ht="14.5" thickBot="1" x14ac:dyDescent="0.3">
      <c r="A2" s="52"/>
      <c r="B2" s="59"/>
      <c r="C2" s="52"/>
      <c r="D2" s="16" t="s">
        <v>14</v>
      </c>
      <c r="E2" s="25" t="s">
        <v>15</v>
      </c>
      <c r="F2" s="25" t="s">
        <v>16</v>
      </c>
      <c r="G2" s="16" t="s">
        <v>3</v>
      </c>
      <c r="H2" s="25" t="s">
        <v>4</v>
      </c>
      <c r="I2" s="26" t="s">
        <v>5</v>
      </c>
      <c r="J2" s="16" t="s">
        <v>9</v>
      </c>
      <c r="K2" s="17"/>
      <c r="L2" s="77"/>
    </row>
    <row r="3" spans="1:12" x14ac:dyDescent="0.25">
      <c r="A3" s="80">
        <v>36</v>
      </c>
      <c r="B3" s="79" t="s">
        <v>6</v>
      </c>
      <c r="C3" s="57" t="s">
        <v>17</v>
      </c>
      <c r="D3" s="27">
        <v>1198.1934999771199</v>
      </c>
      <c r="E3" s="28">
        <v>7.1823607981204898</v>
      </c>
      <c r="F3" s="28">
        <v>64.820931673049898</v>
      </c>
      <c r="G3" s="60">
        <v>981.23584218343512</v>
      </c>
      <c r="H3" s="66">
        <v>1198.1934999771199</v>
      </c>
      <c r="I3" s="72">
        <v>836.59740365431196</v>
      </c>
      <c r="J3" s="9">
        <v>302.88833272281101</v>
      </c>
      <c r="K3" s="53">
        <f>AVERAGE(J3:J7)</f>
        <v>302.88833272281101</v>
      </c>
      <c r="L3" s="78">
        <f>(G3-K3)/K3</f>
        <v>2.2395960364753154</v>
      </c>
    </row>
    <row r="4" spans="1:12" x14ac:dyDescent="0.25">
      <c r="A4" s="80"/>
      <c r="B4" s="80"/>
      <c r="C4" s="51"/>
      <c r="D4" s="29">
        <v>836.59740365431196</v>
      </c>
      <c r="E4" s="30">
        <v>3.6455215017000802</v>
      </c>
      <c r="F4" s="30">
        <v>43.783097743988002</v>
      </c>
      <c r="G4" s="61"/>
      <c r="H4" s="67"/>
      <c r="I4" s="53"/>
      <c r="J4" s="9">
        <v>302.88833272281101</v>
      </c>
      <c r="K4" s="53"/>
      <c r="L4" s="78"/>
    </row>
    <row r="5" spans="1:12" x14ac:dyDescent="0.25">
      <c r="A5" s="80"/>
      <c r="B5" s="80"/>
      <c r="C5" s="51"/>
      <c r="D5" s="29">
        <v>836.59740365431196</v>
      </c>
      <c r="E5" s="30">
        <v>4.5684782908512904</v>
      </c>
      <c r="F5" s="30">
        <v>59.428050756454397</v>
      </c>
      <c r="G5" s="61"/>
      <c r="H5" s="67"/>
      <c r="I5" s="53"/>
      <c r="J5" s="9">
        <v>302.88833272281101</v>
      </c>
      <c r="K5" s="53"/>
      <c r="L5" s="78"/>
    </row>
    <row r="6" spans="1:12" x14ac:dyDescent="0.25">
      <c r="A6" s="80"/>
      <c r="B6" s="80"/>
      <c r="C6" s="51"/>
      <c r="D6" s="29">
        <v>836.59740365431196</v>
      </c>
      <c r="E6" s="30">
        <v>3.7518870631853698</v>
      </c>
      <c r="F6" s="30">
        <v>45.058489322662297</v>
      </c>
      <c r="G6" s="61"/>
      <c r="H6" s="67"/>
      <c r="I6" s="53"/>
      <c r="J6" s="9">
        <v>302.88833272281101</v>
      </c>
      <c r="K6" s="53"/>
      <c r="L6" s="78"/>
    </row>
    <row r="7" spans="1:12" ht="14.5" thickBot="1" x14ac:dyDescent="0.3">
      <c r="A7" s="80"/>
      <c r="B7" s="80"/>
      <c r="C7" s="51"/>
      <c r="D7" s="31">
        <v>1198.1934999771199</v>
      </c>
      <c r="E7" s="32">
        <v>6.8563076337178499</v>
      </c>
      <c r="F7" s="32">
        <v>41.706231594085601</v>
      </c>
      <c r="G7" s="62"/>
      <c r="H7" s="68"/>
      <c r="I7" s="54"/>
      <c r="J7" s="9">
        <v>302.88833272281101</v>
      </c>
      <c r="K7" s="53"/>
      <c r="L7" s="78"/>
    </row>
    <row r="8" spans="1:12" x14ac:dyDescent="0.25">
      <c r="A8" s="80"/>
      <c r="B8" s="80"/>
      <c r="C8" s="57" t="s">
        <v>18</v>
      </c>
      <c r="D8" s="27">
        <v>1090.12505169726</v>
      </c>
      <c r="E8" s="28">
        <v>6.6216271519660896</v>
      </c>
      <c r="F8" s="28">
        <v>105.993825435638</v>
      </c>
      <c r="G8" s="60">
        <v>1318.9508397242359</v>
      </c>
      <c r="H8" s="66">
        <v>1662.1895217647</v>
      </c>
      <c r="I8" s="72">
        <v>1090.12505169726</v>
      </c>
      <c r="J8" s="9">
        <v>611.10679467754596</v>
      </c>
      <c r="K8" s="53">
        <f t="shared" ref="K8" si="0">AVERAGE(J8:J12)</f>
        <v>591.89556073936274</v>
      </c>
      <c r="L8" s="78">
        <f>(G8-K8)/K8</f>
        <v>1.2283506199584882</v>
      </c>
    </row>
    <row r="9" spans="1:12" x14ac:dyDescent="0.25">
      <c r="A9" s="80"/>
      <c r="B9" s="80"/>
      <c r="C9" s="51"/>
      <c r="D9" s="29">
        <v>1662.1895217647</v>
      </c>
      <c r="E9" s="30">
        <v>5.5372994899749699</v>
      </c>
      <c r="F9" s="30">
        <v>138.50217890739401</v>
      </c>
      <c r="G9" s="61"/>
      <c r="H9" s="67"/>
      <c r="I9" s="53"/>
      <c r="J9" s="9">
        <v>587.35128476166005</v>
      </c>
      <c r="K9" s="53"/>
      <c r="L9" s="78"/>
    </row>
    <row r="10" spans="1:12" x14ac:dyDescent="0.25">
      <c r="A10" s="80"/>
      <c r="B10" s="80"/>
      <c r="C10" s="51"/>
      <c r="D10" s="29">
        <v>1090.12505169726</v>
      </c>
      <c r="E10" s="30">
        <v>7.11508235931396</v>
      </c>
      <c r="F10" s="30">
        <v>106.77005171775799</v>
      </c>
      <c r="G10" s="61"/>
      <c r="H10" s="67"/>
      <c r="I10" s="53"/>
      <c r="J10" s="9">
        <v>587.35128476166005</v>
      </c>
      <c r="K10" s="53"/>
      <c r="L10" s="78"/>
    </row>
    <row r="11" spans="1:12" x14ac:dyDescent="0.25">
      <c r="A11" s="80"/>
      <c r="B11" s="80"/>
      <c r="C11" s="51"/>
      <c r="D11" s="29">
        <v>1662.1895217647</v>
      </c>
      <c r="E11" s="30">
        <v>5.9061472140825702</v>
      </c>
      <c r="F11" s="30">
        <v>153.637489318847</v>
      </c>
      <c r="G11" s="61"/>
      <c r="H11" s="67"/>
      <c r="I11" s="53"/>
      <c r="J11" s="9">
        <v>586.31715473428801</v>
      </c>
      <c r="K11" s="53"/>
      <c r="L11" s="78"/>
    </row>
    <row r="12" spans="1:12" ht="14.5" thickBot="1" x14ac:dyDescent="0.3">
      <c r="A12" s="80"/>
      <c r="B12" s="80"/>
      <c r="C12" s="51"/>
      <c r="D12" s="31">
        <v>1090.12505169726</v>
      </c>
      <c r="E12" s="32">
        <v>7.1651292641957598</v>
      </c>
      <c r="F12" s="32">
        <v>107.524727344512</v>
      </c>
      <c r="G12" s="62"/>
      <c r="H12" s="68"/>
      <c r="I12" s="54"/>
      <c r="J12" s="9">
        <v>587.35128476166005</v>
      </c>
      <c r="K12" s="53"/>
      <c r="L12" s="78"/>
    </row>
    <row r="13" spans="1:12" x14ac:dyDescent="0.25">
      <c r="A13" s="80"/>
      <c r="B13" s="80"/>
      <c r="C13" s="57" t="s">
        <v>19</v>
      </c>
      <c r="D13" s="27">
        <v>2139.3091941213502</v>
      </c>
      <c r="E13" s="28">
        <v>6.1216242611408198</v>
      </c>
      <c r="F13" s="28">
        <v>98.003736019134493</v>
      </c>
      <c r="G13" s="60">
        <v>2164.0885172999883</v>
      </c>
      <c r="H13" s="69">
        <v>2263.20581001454</v>
      </c>
      <c r="I13" s="72">
        <v>2139.3091941213502</v>
      </c>
      <c r="J13" s="9">
        <v>1436.6381414965899</v>
      </c>
      <c r="K13" s="53">
        <f t="shared" ref="K13" si="1">AVERAGE(J13:J17)</f>
        <v>1391.6910021117542</v>
      </c>
      <c r="L13" s="78">
        <f>(G13-K13)/K13</f>
        <v>0.55500647343138443</v>
      </c>
    </row>
    <row r="14" spans="1:12" x14ac:dyDescent="0.25">
      <c r="A14" s="80"/>
      <c r="B14" s="80"/>
      <c r="C14" s="51"/>
      <c r="D14" s="29">
        <v>2139.3091941213502</v>
      </c>
      <c r="E14" s="30">
        <v>4.9931966215371997</v>
      </c>
      <c r="F14" s="30">
        <v>79.942918300628605</v>
      </c>
      <c r="G14" s="61"/>
      <c r="H14" s="70"/>
      <c r="I14" s="53"/>
      <c r="J14" s="9">
        <v>1335.24310077313</v>
      </c>
      <c r="K14" s="53"/>
      <c r="L14" s="78"/>
    </row>
    <row r="15" spans="1:12" x14ac:dyDescent="0.25">
      <c r="A15" s="80"/>
      <c r="B15" s="80"/>
      <c r="C15" s="51"/>
      <c r="D15" s="29">
        <v>2139.3091941213502</v>
      </c>
      <c r="E15" s="30">
        <v>5.5511632710695196</v>
      </c>
      <c r="F15" s="30">
        <v>88.866400003433199</v>
      </c>
      <c r="G15" s="61"/>
      <c r="H15" s="70"/>
      <c r="I15" s="53"/>
      <c r="J15" s="9">
        <v>1327.3863844970699</v>
      </c>
      <c r="K15" s="53"/>
      <c r="L15" s="78"/>
    </row>
    <row r="16" spans="1:12" x14ac:dyDescent="0.25">
      <c r="A16" s="80"/>
      <c r="B16" s="80"/>
      <c r="C16" s="51"/>
      <c r="D16" s="29">
        <v>2263.20581001454</v>
      </c>
      <c r="E16" s="30">
        <v>6.4536599594613699</v>
      </c>
      <c r="F16" s="30">
        <v>148.535730600357</v>
      </c>
      <c r="G16" s="61"/>
      <c r="H16" s="70"/>
      <c r="I16" s="53"/>
      <c r="J16" s="9">
        <v>1429.5936918959901</v>
      </c>
      <c r="K16" s="53"/>
      <c r="L16" s="78"/>
    </row>
    <row r="17" spans="1:12" ht="14.5" thickBot="1" x14ac:dyDescent="0.3">
      <c r="A17" s="80"/>
      <c r="B17" s="81"/>
      <c r="C17" s="51"/>
      <c r="D17" s="31">
        <v>2139.3091941213502</v>
      </c>
      <c r="E17" s="32">
        <v>5.9386898279190001</v>
      </c>
      <c r="F17" s="32">
        <v>95.073316812515202</v>
      </c>
      <c r="G17" s="62"/>
      <c r="H17" s="71"/>
      <c r="I17" s="54"/>
      <c r="J17" s="9">
        <v>1429.5936918959901</v>
      </c>
      <c r="K17" s="53"/>
      <c r="L17" s="78"/>
    </row>
    <row r="18" spans="1:12" x14ac:dyDescent="0.25">
      <c r="A18" s="80"/>
      <c r="B18" s="79" t="s">
        <v>7</v>
      </c>
      <c r="C18" s="57" t="s">
        <v>17</v>
      </c>
      <c r="D18" s="27">
        <v>403.79159281814901</v>
      </c>
      <c r="E18" s="28">
        <v>4.1352142529054099</v>
      </c>
      <c r="F18" s="28">
        <v>91.034458160400305</v>
      </c>
      <c r="G18" s="63">
        <v>507.99214472938399</v>
      </c>
      <c r="H18" s="66">
        <v>765.38768914096397</v>
      </c>
      <c r="I18" s="72">
        <v>403.79159281814901</v>
      </c>
      <c r="J18" s="9">
        <v>33.532760664430697</v>
      </c>
      <c r="K18" s="53">
        <f t="shared" ref="K18" si="2">AVERAGE(J18:J22)</f>
        <v>86.552401132981274</v>
      </c>
      <c r="L18" s="78">
        <f>(G18-K18)/K18</f>
        <v>4.869186043133479</v>
      </c>
    </row>
    <row r="19" spans="1:12" x14ac:dyDescent="0.25">
      <c r="A19" s="80"/>
      <c r="B19" s="80"/>
      <c r="C19" s="51"/>
      <c r="D19" s="29">
        <v>483.49492443482899</v>
      </c>
      <c r="E19" s="30">
        <v>5.7190404505956698</v>
      </c>
      <c r="F19" s="30">
        <v>120.18248796463</v>
      </c>
      <c r="G19" s="64"/>
      <c r="H19" s="67"/>
      <c r="I19" s="53"/>
      <c r="J19" s="9">
        <v>121.898828112015</v>
      </c>
      <c r="K19" s="53"/>
      <c r="L19" s="78"/>
    </row>
    <row r="20" spans="1:12" x14ac:dyDescent="0.25">
      <c r="A20" s="80"/>
      <c r="B20" s="80"/>
      <c r="C20" s="51"/>
      <c r="D20" s="29">
        <v>403.79159281814901</v>
      </c>
      <c r="E20" s="30">
        <v>3.8666539842432099</v>
      </c>
      <c r="F20" s="30">
        <v>85.130105733871403</v>
      </c>
      <c r="G20" s="64"/>
      <c r="H20" s="67"/>
      <c r="I20" s="53"/>
      <c r="J20" s="9">
        <v>33.532760664430697</v>
      </c>
      <c r="K20" s="53"/>
      <c r="L20" s="78"/>
    </row>
    <row r="21" spans="1:12" x14ac:dyDescent="0.25">
      <c r="A21" s="80"/>
      <c r="B21" s="80"/>
      <c r="C21" s="51"/>
      <c r="D21" s="29">
        <v>765.38768914096397</v>
      </c>
      <c r="E21" s="30">
        <v>4.3148212134838104</v>
      </c>
      <c r="F21" s="30">
        <v>103.64132642745901</v>
      </c>
      <c r="G21" s="64"/>
      <c r="H21" s="67"/>
      <c r="I21" s="53"/>
      <c r="J21" s="9">
        <v>121.898828112015</v>
      </c>
      <c r="K21" s="53"/>
      <c r="L21" s="78"/>
    </row>
    <row r="22" spans="1:12" ht="14.5" thickBot="1" x14ac:dyDescent="0.3">
      <c r="A22" s="80"/>
      <c r="B22" s="80"/>
      <c r="C22" s="51"/>
      <c r="D22" s="31">
        <v>483.49492443482899</v>
      </c>
      <c r="E22" s="32">
        <v>4.8253774534572198</v>
      </c>
      <c r="F22" s="32">
        <v>106.23365783691401</v>
      </c>
      <c r="G22" s="65"/>
      <c r="H22" s="68"/>
      <c r="I22" s="54"/>
      <c r="J22" s="9">
        <v>121.898828112015</v>
      </c>
      <c r="K22" s="53"/>
      <c r="L22" s="78"/>
    </row>
    <row r="23" spans="1:12" x14ac:dyDescent="0.25">
      <c r="A23" s="80"/>
      <c r="B23" s="80"/>
      <c r="C23" s="57" t="s">
        <v>18</v>
      </c>
      <c r="D23" s="27">
        <v>1182.1326550495501</v>
      </c>
      <c r="E23" s="28">
        <v>4.3067315717538097</v>
      </c>
      <c r="F23" s="28">
        <v>103.442203283309</v>
      </c>
      <c r="G23" s="60">
        <v>1052.9652741884697</v>
      </c>
      <c r="H23" s="69">
        <v>1182.1326550495501</v>
      </c>
      <c r="I23" s="72">
        <v>859.21420289684897</v>
      </c>
      <c r="J23" s="9">
        <v>457.17700221632799</v>
      </c>
      <c r="K23" s="53">
        <f t="shared" ref="K23" si="3">AVERAGE(J23:J27)</f>
        <v>390.301980195336</v>
      </c>
      <c r="L23" s="78">
        <f>(G23-K23)/K23</f>
        <v>1.6978220137686413</v>
      </c>
    </row>
    <row r="24" spans="1:12" x14ac:dyDescent="0.25">
      <c r="A24" s="80"/>
      <c r="B24" s="80"/>
      <c r="C24" s="51"/>
      <c r="D24" s="29">
        <v>859.21420289684897</v>
      </c>
      <c r="E24" s="30">
        <v>4.7772085517644802</v>
      </c>
      <c r="F24" s="30">
        <v>76.485124349594102</v>
      </c>
      <c r="G24" s="61"/>
      <c r="H24" s="70"/>
      <c r="I24" s="53"/>
      <c r="J24" s="9">
        <v>457.17700221632799</v>
      </c>
      <c r="K24" s="53"/>
      <c r="L24" s="78"/>
    </row>
    <row r="25" spans="1:12" x14ac:dyDescent="0.25">
      <c r="A25" s="80"/>
      <c r="B25" s="80"/>
      <c r="C25" s="51"/>
      <c r="D25" s="29">
        <v>859.21420289684897</v>
      </c>
      <c r="E25" s="30">
        <v>5.9923770030339503</v>
      </c>
      <c r="F25" s="30">
        <v>107.929494857788</v>
      </c>
      <c r="G25" s="61"/>
      <c r="H25" s="70"/>
      <c r="I25" s="53"/>
      <c r="J25" s="9">
        <v>457.17700221632799</v>
      </c>
      <c r="K25" s="53"/>
      <c r="L25" s="78"/>
    </row>
    <row r="26" spans="1:12" x14ac:dyDescent="0.25">
      <c r="A26" s="80"/>
      <c r="B26" s="80"/>
      <c r="C26" s="51"/>
      <c r="D26" s="29">
        <v>1182.1326550495501</v>
      </c>
      <c r="E26" s="30">
        <v>7.0174630165100096</v>
      </c>
      <c r="F26" s="30">
        <v>175.54908251762299</v>
      </c>
      <c r="G26" s="61"/>
      <c r="H26" s="70"/>
      <c r="I26" s="53"/>
      <c r="J26" s="9">
        <v>91.484835732714998</v>
      </c>
      <c r="K26" s="53"/>
      <c r="L26" s="78"/>
    </row>
    <row r="27" spans="1:12" ht="14.5" thickBot="1" x14ac:dyDescent="0.3">
      <c r="A27" s="80"/>
      <c r="B27" s="80"/>
      <c r="C27" s="51"/>
      <c r="D27" s="31">
        <v>1182.1326550495501</v>
      </c>
      <c r="E27" s="32">
        <v>6.8655079294133996</v>
      </c>
      <c r="F27" s="32">
        <v>185.47126293182299</v>
      </c>
      <c r="G27" s="62"/>
      <c r="H27" s="71"/>
      <c r="I27" s="54"/>
      <c r="J27" s="9">
        <v>488.49405859498103</v>
      </c>
      <c r="K27" s="53"/>
      <c r="L27" s="78"/>
    </row>
    <row r="28" spans="1:12" x14ac:dyDescent="0.25">
      <c r="A28" s="80"/>
      <c r="B28" s="80"/>
      <c r="C28" s="57" t="s">
        <v>19</v>
      </c>
      <c r="D28" s="27">
        <v>665.67035109955202</v>
      </c>
      <c r="E28" s="28">
        <v>6.4898949116468403</v>
      </c>
      <c r="F28" s="28">
        <v>103.890095710754</v>
      </c>
      <c r="G28" s="82">
        <v>707.51142141628009</v>
      </c>
      <c r="H28" s="69">
        <v>874.875702683192</v>
      </c>
      <c r="I28" s="72">
        <v>665.67035109955202</v>
      </c>
      <c r="J28" s="9">
        <v>-192.74115249773999</v>
      </c>
      <c r="K28" s="53">
        <f t="shared" ref="K28" si="4">AVERAGE(J28:J32)</f>
        <v>227.62435496504122</v>
      </c>
      <c r="L28" s="78">
        <f>(G28-K28)/K28</f>
        <v>2.1082413018806374</v>
      </c>
    </row>
    <row r="29" spans="1:12" x14ac:dyDescent="0.25">
      <c r="A29" s="80"/>
      <c r="B29" s="80"/>
      <c r="C29" s="51"/>
      <c r="D29" s="29">
        <v>665.67035109955202</v>
      </c>
      <c r="E29" s="30">
        <v>5.7988853851954101</v>
      </c>
      <c r="F29" s="30">
        <v>104.43170952796901</v>
      </c>
      <c r="G29" s="83"/>
      <c r="H29" s="70"/>
      <c r="I29" s="53"/>
      <c r="J29" s="9">
        <v>308.33403504033998</v>
      </c>
      <c r="K29" s="53"/>
      <c r="L29" s="78"/>
    </row>
    <row r="30" spans="1:12" x14ac:dyDescent="0.25">
      <c r="A30" s="80"/>
      <c r="B30" s="80"/>
      <c r="C30" s="51"/>
      <c r="D30" s="29">
        <v>665.67035109955202</v>
      </c>
      <c r="E30" s="30">
        <v>5.2077911429935</v>
      </c>
      <c r="F30" s="30">
        <v>93.795996904373098</v>
      </c>
      <c r="G30" s="83"/>
      <c r="H30" s="70"/>
      <c r="I30" s="53"/>
      <c r="J30" s="9">
        <v>55.697789502680102</v>
      </c>
      <c r="K30" s="53"/>
      <c r="L30" s="78"/>
    </row>
    <row r="31" spans="1:12" x14ac:dyDescent="0.25">
      <c r="A31" s="80"/>
      <c r="B31" s="80"/>
      <c r="C31" s="51"/>
      <c r="D31" s="29">
        <v>874.875702683192</v>
      </c>
      <c r="E31" s="30">
        <v>4.9782428264617904</v>
      </c>
      <c r="F31" s="30">
        <v>124.52476978302001</v>
      </c>
      <c r="G31" s="83"/>
      <c r="H31" s="70"/>
      <c r="I31" s="53"/>
      <c r="J31" s="9">
        <v>483.41555138996301</v>
      </c>
      <c r="K31" s="53"/>
      <c r="L31" s="78"/>
    </row>
    <row r="32" spans="1:12" ht="14.5" thickBot="1" x14ac:dyDescent="0.3">
      <c r="A32" s="80"/>
      <c r="B32" s="81"/>
      <c r="C32" s="51"/>
      <c r="D32" s="31">
        <v>665.67035109955202</v>
      </c>
      <c r="E32" s="32">
        <v>4.8316136896610198</v>
      </c>
      <c r="F32" s="32">
        <v>77.382475376129094</v>
      </c>
      <c r="G32" s="84"/>
      <c r="H32" s="71"/>
      <c r="I32" s="54"/>
      <c r="J32" s="9">
        <v>483.41555138996301</v>
      </c>
      <c r="K32" s="53"/>
      <c r="L32" s="78"/>
    </row>
    <row r="33" spans="1:12" x14ac:dyDescent="0.25">
      <c r="A33" s="80"/>
      <c r="B33" s="79" t="s">
        <v>8</v>
      </c>
      <c r="C33" s="57" t="s">
        <v>17</v>
      </c>
      <c r="D33" s="27">
        <v>1213.4687651938</v>
      </c>
      <c r="E33" s="28">
        <v>8.9879025965928996</v>
      </c>
      <c r="F33" s="28">
        <v>143.86418056488</v>
      </c>
      <c r="G33" s="60">
        <v>990.77072652680295</v>
      </c>
      <c r="H33" s="66">
        <v>1213.4687651938</v>
      </c>
      <c r="I33" s="72">
        <v>847.93363597590496</v>
      </c>
      <c r="J33" s="9">
        <v>847.93363597590496</v>
      </c>
      <c r="K33" s="53">
        <f t="shared" ref="K33" si="5">AVERAGE(J33:J37)</f>
        <v>531.34354616900407</v>
      </c>
      <c r="L33" s="78">
        <f>(G33-K33)/K33</f>
        <v>0.86465185033351133</v>
      </c>
    </row>
    <row r="34" spans="1:12" x14ac:dyDescent="0.25">
      <c r="A34" s="80"/>
      <c r="B34" s="80"/>
      <c r="C34" s="51"/>
      <c r="D34" s="29">
        <v>847.93363597590496</v>
      </c>
      <c r="E34" s="30">
        <v>6.8154665323404098</v>
      </c>
      <c r="F34" s="30">
        <v>88.659807205200195</v>
      </c>
      <c r="G34" s="61"/>
      <c r="H34" s="67"/>
      <c r="I34" s="53"/>
      <c r="J34" s="9">
        <v>452.19602371727899</v>
      </c>
      <c r="K34" s="53"/>
      <c r="L34" s="78"/>
    </row>
    <row r="35" spans="1:12" x14ac:dyDescent="0.25">
      <c r="A35" s="80"/>
      <c r="B35" s="80"/>
      <c r="C35" s="51"/>
      <c r="D35" s="29">
        <v>847.93363597590496</v>
      </c>
      <c r="E35" s="30">
        <v>7.5895708600680001</v>
      </c>
      <c r="F35" s="30">
        <v>91.133579730987506</v>
      </c>
      <c r="G35" s="61"/>
      <c r="H35" s="67"/>
      <c r="I35" s="53"/>
      <c r="J35" s="9">
        <v>452.19602371727899</v>
      </c>
      <c r="K35" s="53"/>
      <c r="L35" s="78"/>
    </row>
    <row r="36" spans="1:12" x14ac:dyDescent="0.25">
      <c r="A36" s="80"/>
      <c r="B36" s="80"/>
      <c r="C36" s="51"/>
      <c r="D36" s="29">
        <v>847.93363597590496</v>
      </c>
      <c r="E36" s="30">
        <v>10.3151720932551</v>
      </c>
      <c r="F36" s="30">
        <v>144.467169761657</v>
      </c>
      <c r="G36" s="61"/>
      <c r="H36" s="67"/>
      <c r="I36" s="53"/>
      <c r="J36" s="9">
        <v>452.19602371727899</v>
      </c>
      <c r="K36" s="53"/>
      <c r="L36" s="78"/>
    </row>
    <row r="37" spans="1:12" ht="14.5" thickBot="1" x14ac:dyDescent="0.3">
      <c r="A37" s="80"/>
      <c r="B37" s="80"/>
      <c r="C37" s="51"/>
      <c r="D37" s="31">
        <v>1196.5839595125001</v>
      </c>
      <c r="E37" s="32">
        <v>6.7811863899230902</v>
      </c>
      <c r="F37" s="32">
        <v>169.62026333808899</v>
      </c>
      <c r="G37" s="62"/>
      <c r="H37" s="68"/>
      <c r="I37" s="54"/>
      <c r="J37" s="9">
        <v>452.19602371727899</v>
      </c>
      <c r="K37" s="53"/>
      <c r="L37" s="78"/>
    </row>
    <row r="38" spans="1:12" x14ac:dyDescent="0.25">
      <c r="A38" s="80"/>
      <c r="B38" s="80"/>
      <c r="C38" s="57" t="s">
        <v>18</v>
      </c>
      <c r="D38" s="27">
        <v>1602.8046787683299</v>
      </c>
      <c r="E38" s="28">
        <v>10.0724477052688</v>
      </c>
      <c r="F38" s="28">
        <v>100.77525496482799</v>
      </c>
      <c r="G38" s="60">
        <v>1821.0835168628641</v>
      </c>
      <c r="H38" s="66">
        <v>1966.6027422592199</v>
      </c>
      <c r="I38" s="72">
        <v>1602.8046787683299</v>
      </c>
      <c r="J38" s="9">
        <v>946.37272491587203</v>
      </c>
      <c r="K38" s="53">
        <f t="shared" ref="K38" si="6">AVERAGE(J38:J42)</f>
        <v>944.77377517452373</v>
      </c>
      <c r="L38" s="78">
        <f>(G38-K38)/K38</f>
        <v>0.92753393956819319</v>
      </c>
    </row>
    <row r="39" spans="1:12" x14ac:dyDescent="0.25">
      <c r="A39" s="80"/>
      <c r="B39" s="80"/>
      <c r="C39" s="51"/>
      <c r="D39" s="29">
        <v>1966.6027422592199</v>
      </c>
      <c r="E39" s="30">
        <v>12.7140406478535</v>
      </c>
      <c r="F39" s="30">
        <v>139.90721416473301</v>
      </c>
      <c r="G39" s="61"/>
      <c r="H39" s="67"/>
      <c r="I39" s="53"/>
      <c r="J39" s="9">
        <v>942.37535056250101</v>
      </c>
      <c r="K39" s="53"/>
      <c r="L39" s="78"/>
    </row>
    <row r="40" spans="1:12" x14ac:dyDescent="0.25">
      <c r="A40" s="80"/>
      <c r="B40" s="80"/>
      <c r="C40" s="51"/>
      <c r="D40" s="29">
        <v>1602.8046787683299</v>
      </c>
      <c r="E40" s="30">
        <v>11.502255171537399</v>
      </c>
      <c r="F40" s="30">
        <v>92.0558757781982</v>
      </c>
      <c r="G40" s="61"/>
      <c r="H40" s="67"/>
      <c r="I40" s="53"/>
      <c r="J40" s="9">
        <v>946.37272491587203</v>
      </c>
      <c r="K40" s="53"/>
      <c r="L40" s="78"/>
    </row>
    <row r="41" spans="1:12" x14ac:dyDescent="0.25">
      <c r="A41" s="80"/>
      <c r="B41" s="80"/>
      <c r="C41" s="51"/>
      <c r="D41" s="29">
        <v>1966.6027422592199</v>
      </c>
      <c r="E41" s="30">
        <v>12.082515391436401</v>
      </c>
      <c r="F41" s="30">
        <v>132.95149874687101</v>
      </c>
      <c r="G41" s="61"/>
      <c r="H41" s="67"/>
      <c r="I41" s="53"/>
      <c r="J41" s="9">
        <v>942.37535056250101</v>
      </c>
      <c r="K41" s="53"/>
      <c r="L41" s="78"/>
    </row>
    <row r="42" spans="1:12" ht="14.5" thickBot="1" x14ac:dyDescent="0.3">
      <c r="A42" s="80"/>
      <c r="B42" s="80"/>
      <c r="C42" s="51"/>
      <c r="D42" s="31">
        <v>1966.6027422592199</v>
      </c>
      <c r="E42" s="32">
        <v>12.3813222971829</v>
      </c>
      <c r="F42" s="32">
        <v>136.23536539077699</v>
      </c>
      <c r="G42" s="62"/>
      <c r="H42" s="68"/>
      <c r="I42" s="54"/>
      <c r="J42" s="9">
        <v>946.37272491587203</v>
      </c>
      <c r="K42" s="53"/>
      <c r="L42" s="78"/>
    </row>
    <row r="43" spans="1:12" x14ac:dyDescent="0.25">
      <c r="A43" s="80"/>
      <c r="B43" s="80"/>
      <c r="C43" s="57" t="s">
        <v>19</v>
      </c>
      <c r="D43" s="27">
        <v>1316.56510641048</v>
      </c>
      <c r="E43" s="28">
        <v>8.4594231503350397</v>
      </c>
      <c r="F43" s="28">
        <v>175.500125169754</v>
      </c>
      <c r="G43" s="60">
        <v>1312.4185326278762</v>
      </c>
      <c r="H43" s="66">
        <v>1316.56510641048</v>
      </c>
      <c r="I43" s="72">
        <v>1309.6541501061399</v>
      </c>
      <c r="J43" s="9">
        <v>941.48075326388596</v>
      </c>
      <c r="K43" s="53">
        <f t="shared" ref="K43" si="7">AVERAGE(J43:J47)</f>
        <v>788.51983731549194</v>
      </c>
      <c r="L43" s="78">
        <f>(G43-K43)/K43</f>
        <v>0.66440775554359188</v>
      </c>
    </row>
    <row r="44" spans="1:12" x14ac:dyDescent="0.25">
      <c r="A44" s="80"/>
      <c r="B44" s="80"/>
      <c r="C44" s="51"/>
      <c r="D44" s="29">
        <v>1316.56510641048</v>
      </c>
      <c r="E44" s="30">
        <v>7.8933944151951696</v>
      </c>
      <c r="F44" s="30">
        <v>177.12392425537101</v>
      </c>
      <c r="G44" s="61"/>
      <c r="H44" s="67"/>
      <c r="I44" s="53"/>
      <c r="J44" s="9">
        <v>552.08741362206001</v>
      </c>
      <c r="K44" s="53"/>
      <c r="L44" s="78"/>
    </row>
    <row r="45" spans="1:12" x14ac:dyDescent="0.25">
      <c r="A45" s="80"/>
      <c r="B45" s="80"/>
      <c r="C45" s="51"/>
      <c r="D45" s="29">
        <v>1309.6541501061399</v>
      </c>
      <c r="E45" s="30">
        <v>9.5977111756801605</v>
      </c>
      <c r="F45" s="30">
        <v>153.62112402915901</v>
      </c>
      <c r="G45" s="61"/>
      <c r="H45" s="67"/>
      <c r="I45" s="53"/>
      <c r="J45" s="9">
        <v>566.06951316374102</v>
      </c>
      <c r="K45" s="53"/>
      <c r="L45" s="78"/>
    </row>
    <row r="46" spans="1:12" x14ac:dyDescent="0.25">
      <c r="A46" s="80"/>
      <c r="B46" s="80"/>
      <c r="C46" s="51"/>
      <c r="D46" s="29">
        <v>1309.6541501061399</v>
      </c>
      <c r="E46" s="30">
        <v>13.7042573690414</v>
      </c>
      <c r="F46" s="30">
        <v>137.08339619636499</v>
      </c>
      <c r="G46" s="61"/>
      <c r="H46" s="67"/>
      <c r="I46" s="53"/>
      <c r="J46" s="9">
        <v>941.48075326388596</v>
      </c>
      <c r="K46" s="53"/>
      <c r="L46" s="78"/>
    </row>
    <row r="47" spans="1:12" ht="14.5" thickBot="1" x14ac:dyDescent="0.3">
      <c r="A47" s="81"/>
      <c r="B47" s="81"/>
      <c r="C47" s="52"/>
      <c r="D47" s="31">
        <v>1309.6541501061399</v>
      </c>
      <c r="E47" s="32">
        <v>13.454252195358199</v>
      </c>
      <c r="F47" s="32">
        <v>134.57936096191401</v>
      </c>
      <c r="G47" s="62"/>
      <c r="H47" s="68"/>
      <c r="I47" s="54"/>
      <c r="J47" s="10">
        <v>941.48075326388596</v>
      </c>
      <c r="K47" s="54"/>
      <c r="L47" s="78"/>
    </row>
    <row r="49" spans="7:7" x14ac:dyDescent="0.25">
      <c r="G49" s="12">
        <f>AVERAGE(G3:G47)</f>
        <v>1206.3352017288153</v>
      </c>
    </row>
  </sheetData>
  <sortState xmlns:xlrd2="http://schemas.microsoft.com/office/spreadsheetml/2017/richdata2" ref="A3:C47">
    <sortCondition descending="1" ref="B2:B47"/>
  </sortState>
  <mergeCells count="64">
    <mergeCell ref="L43:L47"/>
    <mergeCell ref="A3:A47"/>
    <mergeCell ref="B3:B17"/>
    <mergeCell ref="C3:C7"/>
    <mergeCell ref="C8:C12"/>
    <mergeCell ref="C13:C17"/>
    <mergeCell ref="B18:B32"/>
    <mergeCell ref="C18:C22"/>
    <mergeCell ref="B33:B47"/>
    <mergeCell ref="C33:C37"/>
    <mergeCell ref="C38:C42"/>
    <mergeCell ref="C43:C47"/>
    <mergeCell ref="G28:G32"/>
    <mergeCell ref="G33:G37"/>
    <mergeCell ref="G38:G42"/>
    <mergeCell ref="G43:G47"/>
    <mergeCell ref="L23:L27"/>
    <mergeCell ref="L28:L32"/>
    <mergeCell ref="L33:L37"/>
    <mergeCell ref="L38:L42"/>
    <mergeCell ref="C23:C27"/>
    <mergeCell ref="C28:C32"/>
    <mergeCell ref="I23:I27"/>
    <mergeCell ref="K3:K7"/>
    <mergeCell ref="K8:K12"/>
    <mergeCell ref="K13:K17"/>
    <mergeCell ref="K18:K22"/>
    <mergeCell ref="K23:K27"/>
    <mergeCell ref="L1:L2"/>
    <mergeCell ref="I3:I7"/>
    <mergeCell ref="I8:I12"/>
    <mergeCell ref="I13:I17"/>
    <mergeCell ref="I18:I22"/>
    <mergeCell ref="L3:L7"/>
    <mergeCell ref="L8:L12"/>
    <mergeCell ref="L13:L17"/>
    <mergeCell ref="L18:L22"/>
    <mergeCell ref="H3:H7"/>
    <mergeCell ref="H8:H12"/>
    <mergeCell ref="H13:H17"/>
    <mergeCell ref="D1:I1"/>
    <mergeCell ref="H18:H22"/>
    <mergeCell ref="H23:H27"/>
    <mergeCell ref="H28:H32"/>
    <mergeCell ref="H33:H37"/>
    <mergeCell ref="H38:H42"/>
    <mergeCell ref="G3:G7"/>
    <mergeCell ref="G8:G12"/>
    <mergeCell ref="G13:G17"/>
    <mergeCell ref="G18:G22"/>
    <mergeCell ref="G23:G27"/>
    <mergeCell ref="J1:K1"/>
    <mergeCell ref="A1:A2"/>
    <mergeCell ref="B1:B2"/>
    <mergeCell ref="C1:C2"/>
    <mergeCell ref="K28:K32"/>
    <mergeCell ref="K33:K37"/>
    <mergeCell ref="K38:K42"/>
    <mergeCell ref="K43:K47"/>
    <mergeCell ref="H43:H47"/>
    <mergeCell ref="I28:I32"/>
    <mergeCell ref="I33:I37"/>
    <mergeCell ref="I38:I42"/>
    <mergeCell ref="I43:I47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"/>
  <sheetViews>
    <sheetView zoomScale="80" zoomScaleNormal="80" workbookViewId="0">
      <selection activeCell="D2" sqref="D1:D1048576"/>
    </sheetView>
  </sheetViews>
  <sheetFormatPr defaultColWidth="9" defaultRowHeight="14" x14ac:dyDescent="0.25"/>
  <cols>
    <col min="1" max="3" width="9" style="11"/>
    <col min="4" max="4" width="9" style="18"/>
    <col min="5" max="5" width="10.08984375" style="19" customWidth="1"/>
    <col min="6" max="6" width="10.08984375" style="15" customWidth="1"/>
    <col min="7" max="12" width="9.1796875" style="19" customWidth="1"/>
    <col min="13" max="16384" width="9" style="11"/>
  </cols>
  <sheetData>
    <row r="1" spans="1:12" ht="14.5" thickBot="1" x14ac:dyDescent="0.3">
      <c r="A1" s="57" t="s">
        <v>11</v>
      </c>
      <c r="B1" s="58" t="s">
        <v>12</v>
      </c>
      <c r="C1" s="57" t="s">
        <v>13</v>
      </c>
      <c r="D1" s="73" t="s">
        <v>0</v>
      </c>
      <c r="E1" s="74"/>
      <c r="F1" s="74"/>
      <c r="G1" s="75"/>
      <c r="H1" s="75"/>
      <c r="I1" s="56"/>
      <c r="J1" s="55" t="s">
        <v>10</v>
      </c>
      <c r="K1" s="56"/>
      <c r="L1" s="85" t="s">
        <v>20</v>
      </c>
    </row>
    <row r="2" spans="1:12" ht="14.5" thickBot="1" x14ac:dyDescent="0.3">
      <c r="A2" s="52"/>
      <c r="B2" s="59"/>
      <c r="C2" s="52"/>
      <c r="D2" s="16" t="s">
        <v>14</v>
      </c>
      <c r="E2" s="25" t="s">
        <v>15</v>
      </c>
      <c r="F2" s="25" t="s">
        <v>16</v>
      </c>
      <c r="G2" s="16" t="s">
        <v>3</v>
      </c>
      <c r="H2" s="25" t="s">
        <v>4</v>
      </c>
      <c r="I2" s="26" t="s">
        <v>5</v>
      </c>
      <c r="J2" s="16" t="s">
        <v>9</v>
      </c>
      <c r="K2" s="17"/>
      <c r="L2" s="86"/>
    </row>
    <row r="3" spans="1:12" x14ac:dyDescent="0.25">
      <c r="A3" s="80">
        <v>72</v>
      </c>
      <c r="B3" s="79" t="s">
        <v>6</v>
      </c>
      <c r="C3" s="57" t="s">
        <v>17</v>
      </c>
      <c r="D3" s="33">
        <v>2106.35939304566</v>
      </c>
      <c r="E3" s="33">
        <v>8.8828084230422899</v>
      </c>
      <c r="F3" s="33">
        <v>266.572858572006</v>
      </c>
      <c r="G3" s="96">
        <v>1964.712453523618</v>
      </c>
      <c r="H3" s="87">
        <v>2106.35939304566</v>
      </c>
      <c r="I3" s="90">
        <v>1782.6101122170501</v>
      </c>
      <c r="J3" s="21">
        <v>969.53592838744896</v>
      </c>
      <c r="K3" s="91">
        <f>AVERAGE(J3:J7)</f>
        <v>1149.8074823385573</v>
      </c>
      <c r="L3" s="78">
        <f>(G3-K3)/K3</f>
        <v>0.70873166482414185</v>
      </c>
    </row>
    <row r="4" spans="1:12" x14ac:dyDescent="0.25">
      <c r="A4" s="80"/>
      <c r="B4" s="80"/>
      <c r="C4" s="51"/>
      <c r="D4" s="34">
        <v>2039.5684003296201</v>
      </c>
      <c r="E4" s="34">
        <v>9.11728070628258</v>
      </c>
      <c r="F4" s="34">
        <v>282.72431826591401</v>
      </c>
      <c r="G4" s="97"/>
      <c r="H4" s="88"/>
      <c r="I4" s="91"/>
      <c r="J4" s="21">
        <v>969.53592838744896</v>
      </c>
      <c r="K4" s="91"/>
      <c r="L4" s="78"/>
    </row>
    <row r="5" spans="1:12" x14ac:dyDescent="0.25">
      <c r="A5" s="80"/>
      <c r="B5" s="80"/>
      <c r="C5" s="51"/>
      <c r="D5" s="34">
        <v>2009.5684003296201</v>
      </c>
      <c r="E5" s="34">
        <v>10.1290762506682</v>
      </c>
      <c r="F5" s="34">
        <v>293.82385540008499</v>
      </c>
      <c r="G5" s="97"/>
      <c r="H5" s="88"/>
      <c r="I5" s="91"/>
      <c r="J5" s="21">
        <v>1057.8725671534201</v>
      </c>
      <c r="K5" s="91"/>
      <c r="L5" s="78"/>
    </row>
    <row r="6" spans="1:12" x14ac:dyDescent="0.25">
      <c r="A6" s="80"/>
      <c r="B6" s="80"/>
      <c r="C6" s="51"/>
      <c r="D6" s="34">
        <v>1885.4559616961401</v>
      </c>
      <c r="E6" s="34">
        <v>7.3903399513613701</v>
      </c>
      <c r="F6" s="34">
        <v>229.18432855606</v>
      </c>
      <c r="G6" s="97"/>
      <c r="H6" s="88"/>
      <c r="I6" s="91"/>
      <c r="J6" s="21">
        <v>965.41567552327797</v>
      </c>
      <c r="K6" s="91"/>
      <c r="L6" s="78"/>
    </row>
    <row r="7" spans="1:12" ht="14.5" thickBot="1" x14ac:dyDescent="0.3">
      <c r="A7" s="80"/>
      <c r="B7" s="80"/>
      <c r="C7" s="51"/>
      <c r="D7" s="35">
        <v>1782.6101122170501</v>
      </c>
      <c r="E7" s="35">
        <v>8.9234635531902295</v>
      </c>
      <c r="F7" s="35">
        <v>357.05207681655799</v>
      </c>
      <c r="G7" s="98"/>
      <c r="H7" s="89"/>
      <c r="I7" s="92"/>
      <c r="J7" s="21">
        <v>1786.6773122411901</v>
      </c>
      <c r="K7" s="91"/>
      <c r="L7" s="78"/>
    </row>
    <row r="8" spans="1:12" x14ac:dyDescent="0.25">
      <c r="A8" s="80"/>
      <c r="B8" s="80"/>
      <c r="C8" s="57" t="s">
        <v>18</v>
      </c>
      <c r="D8" s="33">
        <v>2934.1588866965499</v>
      </c>
      <c r="E8" s="33">
        <v>13.910180993702101</v>
      </c>
      <c r="F8" s="33">
        <v>320.00584411621003</v>
      </c>
      <c r="G8" s="93">
        <v>2666.5235484386681</v>
      </c>
      <c r="H8" s="87">
        <v>3001.0235445159401</v>
      </c>
      <c r="I8" s="90">
        <v>2413.3538177932401</v>
      </c>
      <c r="J8" s="21">
        <v>2125.7164441539699</v>
      </c>
      <c r="K8" s="91">
        <f t="shared" ref="K8" si="0">AVERAGE(J8:J12)</f>
        <v>2222.5897557539142</v>
      </c>
      <c r="L8" s="78">
        <f t="shared" ref="L8" si="1">(G8-K8)/K8</f>
        <v>0.19973717215940695</v>
      </c>
    </row>
    <row r="9" spans="1:12" x14ac:dyDescent="0.25">
      <c r="A9" s="80"/>
      <c r="B9" s="80"/>
      <c r="C9" s="51"/>
      <c r="D9" s="34">
        <v>2557.8782915350398</v>
      </c>
      <c r="E9" s="34">
        <v>11.721482694149</v>
      </c>
      <c r="F9" s="34">
        <v>187.626359939575</v>
      </c>
      <c r="G9" s="94"/>
      <c r="H9" s="88"/>
      <c r="I9" s="91"/>
      <c r="J9" s="21">
        <v>2201.53272045412</v>
      </c>
      <c r="K9" s="91"/>
      <c r="L9" s="78"/>
    </row>
    <row r="10" spans="1:12" x14ac:dyDescent="0.25">
      <c r="A10" s="80"/>
      <c r="B10" s="80"/>
      <c r="C10" s="51"/>
      <c r="D10" s="34">
        <v>3001.0235445159401</v>
      </c>
      <c r="E10" s="34">
        <v>13.612490405639001</v>
      </c>
      <c r="F10" s="34">
        <v>326.77444791793801</v>
      </c>
      <c r="G10" s="94"/>
      <c r="H10" s="88"/>
      <c r="I10" s="91"/>
      <c r="J10" s="21">
        <v>2452.1812585368498</v>
      </c>
      <c r="K10" s="91"/>
      <c r="L10" s="78"/>
    </row>
    <row r="11" spans="1:12" x14ac:dyDescent="0.25">
      <c r="A11" s="80"/>
      <c r="B11" s="80"/>
      <c r="C11" s="51"/>
      <c r="D11" s="34">
        <v>2426.20320165257</v>
      </c>
      <c r="E11" s="34">
        <v>13.1858470588922</v>
      </c>
      <c r="F11" s="34">
        <v>211.021342992782</v>
      </c>
      <c r="G11" s="94"/>
      <c r="H11" s="88"/>
      <c r="I11" s="91"/>
      <c r="J11" s="21">
        <v>2177.6674700485801</v>
      </c>
      <c r="K11" s="91"/>
      <c r="L11" s="78"/>
    </row>
    <row r="12" spans="1:12" ht="14.5" thickBot="1" x14ac:dyDescent="0.3">
      <c r="A12" s="80"/>
      <c r="B12" s="80"/>
      <c r="C12" s="51"/>
      <c r="D12" s="35">
        <v>2413.3538177932401</v>
      </c>
      <c r="E12" s="35">
        <v>12.0667321920394</v>
      </c>
      <c r="F12" s="35">
        <v>241.39537668228101</v>
      </c>
      <c r="G12" s="95"/>
      <c r="H12" s="89"/>
      <c r="I12" s="92"/>
      <c r="J12" s="21">
        <v>2155.8508855760501</v>
      </c>
      <c r="K12" s="91"/>
      <c r="L12" s="78"/>
    </row>
    <row r="13" spans="1:12" x14ac:dyDescent="0.25">
      <c r="A13" s="80"/>
      <c r="B13" s="80"/>
      <c r="C13" s="57" t="s">
        <v>19</v>
      </c>
      <c r="D13" s="33">
        <v>2565.5383369152401</v>
      </c>
      <c r="E13" s="33">
        <v>10.213506773114201</v>
      </c>
      <c r="F13" s="33">
        <v>326.92378878593399</v>
      </c>
      <c r="G13" s="93">
        <v>2706.6995396890898</v>
      </c>
      <c r="H13" s="87">
        <v>2926.3047501245601</v>
      </c>
      <c r="I13" s="90">
        <v>2565.5383369152401</v>
      </c>
      <c r="J13" s="21">
        <v>1434.49990481809</v>
      </c>
      <c r="K13" s="91">
        <f t="shared" ref="K13" si="2">AVERAGE(J13:J17)</f>
        <v>1266.001170827378</v>
      </c>
      <c r="L13" s="78">
        <f t="shared" ref="L13" si="3">(G13-K13)/K13</f>
        <v>1.1379913400239297</v>
      </c>
    </row>
    <row r="14" spans="1:12" x14ac:dyDescent="0.25">
      <c r="A14" s="80"/>
      <c r="B14" s="80"/>
      <c r="C14" s="51"/>
      <c r="D14" s="34">
        <v>2589.71535175486</v>
      </c>
      <c r="E14" s="34">
        <v>11.1107196489969</v>
      </c>
      <c r="F14" s="34">
        <v>333.40522551536498</v>
      </c>
      <c r="G14" s="94"/>
      <c r="H14" s="88"/>
      <c r="I14" s="91"/>
      <c r="J14" s="21">
        <v>1197.6309882173</v>
      </c>
      <c r="K14" s="91"/>
      <c r="L14" s="78"/>
    </row>
    <row r="15" spans="1:12" x14ac:dyDescent="0.25">
      <c r="A15" s="80"/>
      <c r="B15" s="80"/>
      <c r="C15" s="51"/>
      <c r="D15" s="34">
        <v>2926.3047501245601</v>
      </c>
      <c r="E15" s="34">
        <v>10.625771827167901</v>
      </c>
      <c r="F15" s="34">
        <v>382.63332366943303</v>
      </c>
      <c r="G15" s="94"/>
      <c r="H15" s="88"/>
      <c r="I15" s="91"/>
      <c r="J15" s="21">
        <v>1348.6842428457801</v>
      </c>
      <c r="K15" s="91"/>
      <c r="L15" s="78"/>
    </row>
    <row r="16" spans="1:12" x14ac:dyDescent="0.25">
      <c r="A16" s="80"/>
      <c r="B16" s="80"/>
      <c r="C16" s="51"/>
      <c r="D16" s="34">
        <v>2708.4395602896898</v>
      </c>
      <c r="E16" s="34">
        <v>8.6935257138432593</v>
      </c>
      <c r="F16" s="34">
        <v>321.76697993278498</v>
      </c>
      <c r="G16" s="94"/>
      <c r="H16" s="88"/>
      <c r="I16" s="91"/>
      <c r="J16" s="21">
        <v>951.51118038504001</v>
      </c>
      <c r="K16" s="91"/>
      <c r="L16" s="78"/>
    </row>
    <row r="17" spans="1:12" ht="14.5" thickBot="1" x14ac:dyDescent="0.3">
      <c r="A17" s="80"/>
      <c r="B17" s="81"/>
      <c r="C17" s="51"/>
      <c r="D17" s="35">
        <v>2743.4996993610998</v>
      </c>
      <c r="E17" s="35">
        <v>10.5189555757924</v>
      </c>
      <c r="F17" s="35">
        <v>399.82882738113398</v>
      </c>
      <c r="G17" s="95"/>
      <c r="H17" s="89"/>
      <c r="I17" s="92"/>
      <c r="J17" s="21">
        <v>1397.67953787068</v>
      </c>
      <c r="K17" s="91"/>
      <c r="L17" s="78"/>
    </row>
    <row r="18" spans="1:12" x14ac:dyDescent="0.25">
      <c r="A18" s="80"/>
      <c r="B18" s="79" t="s">
        <v>7</v>
      </c>
      <c r="C18" s="57" t="s">
        <v>17</v>
      </c>
      <c r="D18" s="33">
        <v>1709.8895045567001</v>
      </c>
      <c r="E18" s="33">
        <v>14.0240998701615</v>
      </c>
      <c r="F18" s="33">
        <v>308.59491372108403</v>
      </c>
      <c r="G18" s="93">
        <v>1613.8774512269222</v>
      </c>
      <c r="H18" s="87">
        <v>1883.76792153424</v>
      </c>
      <c r="I18" s="90">
        <v>1068.1981398595001</v>
      </c>
      <c r="J18" s="21">
        <v>854.259677494127</v>
      </c>
      <c r="K18" s="91">
        <f t="shared" ref="K18" si="4">AVERAGE(J18:J22)</f>
        <v>1038.2313298478118</v>
      </c>
      <c r="L18" s="78">
        <f t="shared" ref="L18" si="5">(G18-K18)/K18</f>
        <v>0.55444880618608472</v>
      </c>
    </row>
    <row r="19" spans="1:12" x14ac:dyDescent="0.25">
      <c r="A19" s="80"/>
      <c r="B19" s="80"/>
      <c r="C19" s="51"/>
      <c r="D19" s="34">
        <v>1709.8895045567001</v>
      </c>
      <c r="E19" s="34">
        <v>14.602931964397399</v>
      </c>
      <c r="F19" s="34">
        <v>292.116381406784</v>
      </c>
      <c r="G19" s="94"/>
      <c r="H19" s="88"/>
      <c r="I19" s="91"/>
      <c r="J19" s="21">
        <v>1076.74658943655</v>
      </c>
      <c r="K19" s="91"/>
      <c r="L19" s="78"/>
    </row>
    <row r="20" spans="1:12" x14ac:dyDescent="0.25">
      <c r="A20" s="80"/>
      <c r="B20" s="80"/>
      <c r="C20" s="51"/>
      <c r="D20" s="34">
        <v>1883.76792153424</v>
      </c>
      <c r="E20" s="34">
        <v>13.196659020015099</v>
      </c>
      <c r="F20" s="34">
        <v>277.19057083129798</v>
      </c>
      <c r="G20" s="94"/>
      <c r="H20" s="88"/>
      <c r="I20" s="91"/>
      <c r="J20" s="21">
        <v>682.77426824558302</v>
      </c>
      <c r="K20" s="91"/>
      <c r="L20" s="78"/>
    </row>
    <row r="21" spans="1:12" x14ac:dyDescent="0.25">
      <c r="A21" s="80"/>
      <c r="B21" s="80"/>
      <c r="C21" s="51"/>
      <c r="D21" s="34">
        <v>1068.1981398595001</v>
      </c>
      <c r="E21" s="34">
        <v>10.956579173052701</v>
      </c>
      <c r="F21" s="34">
        <v>295.90330100059498</v>
      </c>
      <c r="G21" s="94"/>
      <c r="H21" s="88"/>
      <c r="I21" s="91"/>
      <c r="J21" s="21">
        <v>1006.68654404872</v>
      </c>
      <c r="K21" s="91"/>
      <c r="L21" s="78"/>
    </row>
    <row r="22" spans="1:12" ht="14.5" thickBot="1" x14ac:dyDescent="0.3">
      <c r="A22" s="80"/>
      <c r="B22" s="80"/>
      <c r="C22" s="51"/>
      <c r="D22" s="35">
        <v>1697.6421856274701</v>
      </c>
      <c r="E22" s="35">
        <v>12.846327082316</v>
      </c>
      <c r="F22" s="35">
        <v>385.47245454788202</v>
      </c>
      <c r="G22" s="95"/>
      <c r="H22" s="89"/>
      <c r="I22" s="92"/>
      <c r="J22" s="21">
        <v>1570.6895700140799</v>
      </c>
      <c r="K22" s="91"/>
      <c r="L22" s="78"/>
    </row>
    <row r="23" spans="1:12" x14ac:dyDescent="0.25">
      <c r="A23" s="80"/>
      <c r="B23" s="80"/>
      <c r="C23" s="57" t="s">
        <v>18</v>
      </c>
      <c r="D23" s="33">
        <v>2208.18319636162</v>
      </c>
      <c r="E23" s="33">
        <v>11.772533102035499</v>
      </c>
      <c r="F23" s="33">
        <v>294.38203454017599</v>
      </c>
      <c r="G23" s="99">
        <v>2444.2814264340423</v>
      </c>
      <c r="H23" s="87">
        <v>3018.5897558921401</v>
      </c>
      <c r="I23" s="90">
        <v>1941.2759192026001</v>
      </c>
      <c r="J23" s="21">
        <v>1350.4105887380599</v>
      </c>
      <c r="K23" s="91">
        <f t="shared" ref="K23" si="6">AVERAGE(J23:J27)</f>
        <v>1633.2807469319957</v>
      </c>
      <c r="L23" s="78">
        <f t="shared" ref="L23" si="7">(G23-K23)/K23</f>
        <v>0.49654701497305648</v>
      </c>
    </row>
    <row r="24" spans="1:12" x14ac:dyDescent="0.25">
      <c r="A24" s="80"/>
      <c r="B24" s="80"/>
      <c r="C24" s="51"/>
      <c r="D24" s="34">
        <v>3018.5897558921401</v>
      </c>
      <c r="E24" s="34">
        <v>9.4248555544260295</v>
      </c>
      <c r="F24" s="34">
        <v>348.82917666435202</v>
      </c>
      <c r="G24" s="100"/>
      <c r="H24" s="88"/>
      <c r="I24" s="91"/>
      <c r="J24" s="21">
        <v>1963.78029695956</v>
      </c>
      <c r="K24" s="91"/>
      <c r="L24" s="78"/>
    </row>
    <row r="25" spans="1:12" x14ac:dyDescent="0.25">
      <c r="A25" s="80"/>
      <c r="B25" s="80"/>
      <c r="C25" s="51"/>
      <c r="D25" s="34">
        <v>2721.1797932291001</v>
      </c>
      <c r="E25" s="34">
        <v>9.4774193018674797</v>
      </c>
      <c r="F25" s="34">
        <v>303.39290523529002</v>
      </c>
      <c r="G25" s="100"/>
      <c r="H25" s="88"/>
      <c r="I25" s="91"/>
      <c r="J25" s="21">
        <v>1500.1893336954299</v>
      </c>
      <c r="K25" s="91"/>
      <c r="L25" s="78"/>
    </row>
    <row r="26" spans="1:12" x14ac:dyDescent="0.25">
      <c r="A26" s="80"/>
      <c r="B26" s="80"/>
      <c r="C26" s="51"/>
      <c r="D26" s="34">
        <v>2332.1784674847499</v>
      </c>
      <c r="E26" s="34">
        <v>14.6175371847654</v>
      </c>
      <c r="F26" s="34">
        <v>277.79692411422701</v>
      </c>
      <c r="G26" s="100"/>
      <c r="H26" s="88"/>
      <c r="I26" s="91"/>
      <c r="J26" s="21">
        <v>1963.78029695956</v>
      </c>
      <c r="K26" s="91"/>
      <c r="L26" s="78"/>
    </row>
    <row r="27" spans="1:12" ht="14.5" thickBot="1" x14ac:dyDescent="0.3">
      <c r="A27" s="80"/>
      <c r="B27" s="80"/>
      <c r="C27" s="51"/>
      <c r="D27" s="35">
        <v>1941.2759192026001</v>
      </c>
      <c r="E27" s="35">
        <v>13.7289825866096</v>
      </c>
      <c r="F27" s="35">
        <v>260.90941023826599</v>
      </c>
      <c r="G27" s="101"/>
      <c r="H27" s="89"/>
      <c r="I27" s="92"/>
      <c r="J27" s="21">
        <v>1388.2432183073699</v>
      </c>
      <c r="K27" s="91"/>
      <c r="L27" s="78"/>
    </row>
    <row r="28" spans="1:12" x14ac:dyDescent="0.25">
      <c r="A28" s="80"/>
      <c r="B28" s="80"/>
      <c r="C28" s="57" t="s">
        <v>19</v>
      </c>
      <c r="D28" s="33">
        <v>2521.1318803772601</v>
      </c>
      <c r="E28" s="33">
        <v>11.2111528547186</v>
      </c>
      <c r="F28" s="33">
        <v>426.12934708595202</v>
      </c>
      <c r="G28" s="93">
        <v>2651.134770188658</v>
      </c>
      <c r="H28" s="87">
        <v>2794.08115849879</v>
      </c>
      <c r="I28" s="90">
        <v>2516.17448199403</v>
      </c>
      <c r="J28" s="21">
        <v>1503.69938128328</v>
      </c>
      <c r="K28" s="91">
        <f t="shared" ref="K28" si="8">AVERAGE(J28:J32)</f>
        <v>1328.0458675701361</v>
      </c>
      <c r="L28" s="78">
        <f t="shared" ref="L28:L43" si="9">(G28-K28)/K28</f>
        <v>0.99626747458603682</v>
      </c>
    </row>
    <row r="29" spans="1:12" x14ac:dyDescent="0.25">
      <c r="A29" s="80"/>
      <c r="B29" s="80"/>
      <c r="C29" s="51"/>
      <c r="D29" s="34">
        <v>2516.17448199403</v>
      </c>
      <c r="E29" s="34">
        <v>13.5677302623617</v>
      </c>
      <c r="F29" s="34">
        <v>393.54681634902897</v>
      </c>
      <c r="G29" s="94"/>
      <c r="H29" s="88"/>
      <c r="I29" s="91"/>
      <c r="J29" s="21">
        <v>1145.3147971153501</v>
      </c>
      <c r="K29" s="91"/>
      <c r="L29" s="78"/>
    </row>
    <row r="30" spans="1:12" x14ac:dyDescent="0.25">
      <c r="A30" s="80"/>
      <c r="B30" s="80"/>
      <c r="C30" s="51"/>
      <c r="D30" s="34">
        <v>2675.3349031457801</v>
      </c>
      <c r="E30" s="34">
        <v>11.4569421330013</v>
      </c>
      <c r="F30" s="34">
        <v>424.003467559814</v>
      </c>
      <c r="G30" s="94"/>
      <c r="H30" s="88"/>
      <c r="I30" s="91"/>
      <c r="J30" s="21">
        <v>1619.9834505514</v>
      </c>
      <c r="K30" s="91"/>
      <c r="L30" s="78"/>
    </row>
    <row r="31" spans="1:12" x14ac:dyDescent="0.25">
      <c r="A31" s="80"/>
      <c r="B31" s="80"/>
      <c r="C31" s="51"/>
      <c r="D31" s="34">
        <v>2748.95142692743</v>
      </c>
      <c r="E31" s="34">
        <v>11.6500117649903</v>
      </c>
      <c r="F31" s="34">
        <v>431.15195322036698</v>
      </c>
      <c r="G31" s="94"/>
      <c r="H31" s="88"/>
      <c r="I31" s="91"/>
      <c r="J31" s="21">
        <v>1115.3147971153501</v>
      </c>
      <c r="K31" s="91"/>
      <c r="L31" s="78"/>
    </row>
    <row r="32" spans="1:12" ht="14.5" thickBot="1" x14ac:dyDescent="0.3">
      <c r="A32" s="80"/>
      <c r="B32" s="81"/>
      <c r="C32" s="51"/>
      <c r="D32" s="35">
        <v>2794.08115849879</v>
      </c>
      <c r="E32" s="35">
        <v>10.8128127549823</v>
      </c>
      <c r="F32" s="35">
        <v>410.98944830894402</v>
      </c>
      <c r="G32" s="95"/>
      <c r="H32" s="89"/>
      <c r="I32" s="92"/>
      <c r="J32" s="21">
        <v>1255.9169117853</v>
      </c>
      <c r="K32" s="91"/>
      <c r="L32" s="78"/>
    </row>
    <row r="33" spans="1:12" x14ac:dyDescent="0.25">
      <c r="A33" s="80"/>
      <c r="B33" s="79" t="s">
        <v>8</v>
      </c>
      <c r="C33" s="57" t="s">
        <v>17</v>
      </c>
      <c r="D33" s="33">
        <v>4079.5387860792998</v>
      </c>
      <c r="E33" s="33">
        <v>15.0493056557395</v>
      </c>
      <c r="F33" s="33">
        <v>331.15143227577198</v>
      </c>
      <c r="G33" s="96">
        <v>3859.6598342306943</v>
      </c>
      <c r="H33" s="87">
        <v>4079.5387860792998</v>
      </c>
      <c r="I33" s="90">
        <v>3713.6443967370301</v>
      </c>
      <c r="J33" s="21">
        <v>3453.3833856207898</v>
      </c>
      <c r="K33" s="91">
        <f t="shared" ref="K33" si="10">AVERAGE(J33:J37)</f>
        <v>3244.1595243261399</v>
      </c>
      <c r="L33" s="78">
        <f t="shared" si="9"/>
        <v>0.18972566092673968</v>
      </c>
    </row>
    <row r="34" spans="1:12" x14ac:dyDescent="0.25">
      <c r="A34" s="80"/>
      <c r="B34" s="80"/>
      <c r="C34" s="51"/>
      <c r="D34" s="34">
        <v>3945.1730492597999</v>
      </c>
      <c r="E34" s="34">
        <v>12.7163594818115</v>
      </c>
      <c r="F34" s="34">
        <v>317.97668647766102</v>
      </c>
      <c r="G34" s="97"/>
      <c r="H34" s="88"/>
      <c r="I34" s="91"/>
      <c r="J34" s="21">
        <v>2779.89180799413</v>
      </c>
      <c r="K34" s="91"/>
      <c r="L34" s="78"/>
    </row>
    <row r="35" spans="1:12" x14ac:dyDescent="0.25">
      <c r="A35" s="80"/>
      <c r="B35" s="80"/>
      <c r="C35" s="51"/>
      <c r="D35" s="34">
        <v>3753.5824669507101</v>
      </c>
      <c r="E35" s="34">
        <v>12.9631884098052</v>
      </c>
      <c r="F35" s="34">
        <v>233.38916397094701</v>
      </c>
      <c r="G35" s="97"/>
      <c r="H35" s="88"/>
      <c r="I35" s="91"/>
      <c r="J35" s="21">
        <v>3363.5367957284502</v>
      </c>
      <c r="K35" s="91"/>
      <c r="L35" s="78"/>
    </row>
    <row r="36" spans="1:12" x14ac:dyDescent="0.25">
      <c r="A36" s="80"/>
      <c r="B36" s="80"/>
      <c r="C36" s="51"/>
      <c r="D36" s="34">
        <v>3713.6443967370301</v>
      </c>
      <c r="E36" s="34">
        <v>12.7260643720626</v>
      </c>
      <c r="F36" s="34">
        <v>254.57705116271899</v>
      </c>
      <c r="G36" s="97"/>
      <c r="H36" s="88"/>
      <c r="I36" s="91"/>
      <c r="J36" s="21">
        <v>3198.8461391027899</v>
      </c>
      <c r="K36" s="91"/>
      <c r="L36" s="78"/>
    </row>
    <row r="37" spans="1:12" ht="14.5" thickBot="1" x14ac:dyDescent="0.3">
      <c r="A37" s="80"/>
      <c r="B37" s="80"/>
      <c r="C37" s="51"/>
      <c r="D37" s="35">
        <v>3806.3604721266302</v>
      </c>
      <c r="E37" s="35">
        <v>9.8511750936508093</v>
      </c>
      <c r="F37" s="35">
        <v>295.62686228752102</v>
      </c>
      <c r="G37" s="98"/>
      <c r="H37" s="89"/>
      <c r="I37" s="92"/>
      <c r="J37" s="21">
        <v>3425.1394931845398</v>
      </c>
      <c r="K37" s="91"/>
      <c r="L37" s="78"/>
    </row>
    <row r="38" spans="1:12" x14ac:dyDescent="0.25">
      <c r="A38" s="80"/>
      <c r="B38" s="80"/>
      <c r="C38" s="57" t="s">
        <v>18</v>
      </c>
      <c r="D38" s="33">
        <v>3124.6730067390299</v>
      </c>
      <c r="E38" s="33">
        <v>11.3933577433876</v>
      </c>
      <c r="F38" s="33">
        <v>262.11194944381702</v>
      </c>
      <c r="G38" s="93">
        <v>2960.7471561943103</v>
      </c>
      <c r="H38" s="87">
        <v>3124.6730067390299</v>
      </c>
      <c r="I38" s="90">
        <v>2725.2877817806698</v>
      </c>
      <c r="J38" s="21">
        <v>2444.8091289922399</v>
      </c>
      <c r="K38" s="91">
        <f t="shared" ref="K38" si="11">AVERAGE(J38:J42)</f>
        <v>2225.5272528176502</v>
      </c>
      <c r="L38" s="78">
        <f t="shared" si="9"/>
        <v>0.3303576275895197</v>
      </c>
    </row>
    <row r="39" spans="1:12" x14ac:dyDescent="0.25">
      <c r="A39" s="80"/>
      <c r="B39" s="80"/>
      <c r="C39" s="51"/>
      <c r="D39" s="34">
        <v>2725.2877817806698</v>
      </c>
      <c r="E39" s="34">
        <v>10.721579098701399</v>
      </c>
      <c r="F39" s="34">
        <v>214.48534846305799</v>
      </c>
      <c r="G39" s="94"/>
      <c r="H39" s="88"/>
      <c r="I39" s="91"/>
      <c r="J39" s="21">
        <v>2037.7504523335999</v>
      </c>
      <c r="K39" s="91"/>
      <c r="L39" s="78"/>
    </row>
    <row r="40" spans="1:12" x14ac:dyDescent="0.25">
      <c r="A40" s="80"/>
      <c r="B40" s="80"/>
      <c r="C40" s="51"/>
      <c r="D40" s="34">
        <v>3092.3537883069698</v>
      </c>
      <c r="E40" s="34">
        <v>10.6354104435962</v>
      </c>
      <c r="F40" s="34">
        <v>244.68015027046201</v>
      </c>
      <c r="G40" s="94"/>
      <c r="H40" s="88"/>
      <c r="I40" s="91"/>
      <c r="J40" s="21">
        <v>2127.9269637880798</v>
      </c>
      <c r="K40" s="91"/>
      <c r="L40" s="78"/>
    </row>
    <row r="41" spans="1:12" x14ac:dyDescent="0.25">
      <c r="A41" s="80"/>
      <c r="B41" s="80"/>
      <c r="C41" s="51"/>
      <c r="D41" s="34">
        <v>3114.24360533559</v>
      </c>
      <c r="E41" s="34">
        <v>10.116141898291399</v>
      </c>
      <c r="F41" s="34">
        <v>212.49771976470899</v>
      </c>
      <c r="G41" s="94"/>
      <c r="H41" s="88"/>
      <c r="I41" s="91"/>
      <c r="J41" s="21">
        <v>2138.3563651915201</v>
      </c>
      <c r="K41" s="91"/>
      <c r="L41" s="78"/>
    </row>
    <row r="42" spans="1:12" ht="14.5" thickBot="1" x14ac:dyDescent="0.3">
      <c r="A42" s="80"/>
      <c r="B42" s="80"/>
      <c r="C42" s="51"/>
      <c r="D42" s="35">
        <v>2747.17759880929</v>
      </c>
      <c r="E42" s="35">
        <v>10.8283201385946</v>
      </c>
      <c r="F42" s="35">
        <v>184.13023138046199</v>
      </c>
      <c r="G42" s="95"/>
      <c r="H42" s="89"/>
      <c r="I42" s="92"/>
      <c r="J42" s="21">
        <v>2378.7933537828098</v>
      </c>
      <c r="K42" s="91"/>
      <c r="L42" s="78"/>
    </row>
    <row r="43" spans="1:12" x14ac:dyDescent="0.25">
      <c r="A43" s="80"/>
      <c r="B43" s="80"/>
      <c r="C43" s="57" t="s">
        <v>19</v>
      </c>
      <c r="D43" s="33">
        <v>2347.1204499614</v>
      </c>
      <c r="E43" s="33">
        <v>10.463845553605401</v>
      </c>
      <c r="F43" s="33">
        <v>240.73217463493299</v>
      </c>
      <c r="G43" s="93">
        <v>2512.875053296636</v>
      </c>
      <c r="H43" s="87">
        <v>2850.3164122450298</v>
      </c>
      <c r="I43" s="90">
        <v>2179.89766418308</v>
      </c>
      <c r="J43" s="21">
        <v>1423.2960475063701</v>
      </c>
      <c r="K43" s="91">
        <f t="shared" ref="K43" si="12">AVERAGE(J43:J47)</f>
        <v>1396.6016502588022</v>
      </c>
      <c r="L43" s="78">
        <f t="shared" si="9"/>
        <v>0.7992783073333608</v>
      </c>
    </row>
    <row r="44" spans="1:12" x14ac:dyDescent="0.25">
      <c r="A44" s="80"/>
      <c r="B44" s="80"/>
      <c r="C44" s="51"/>
      <c r="D44" s="34">
        <v>2749.54935847763</v>
      </c>
      <c r="E44" s="34">
        <v>11.330649839507201</v>
      </c>
      <c r="F44" s="34">
        <v>284.31270432472201</v>
      </c>
      <c r="G44" s="94"/>
      <c r="H44" s="88"/>
      <c r="I44" s="91"/>
      <c r="J44" s="21">
        <v>1076.49668934342</v>
      </c>
      <c r="K44" s="91"/>
      <c r="L44" s="78"/>
    </row>
    <row r="45" spans="1:12" x14ac:dyDescent="0.25">
      <c r="A45" s="80"/>
      <c r="B45" s="80"/>
      <c r="C45" s="51"/>
      <c r="D45" s="34">
        <v>2179.89766418308</v>
      </c>
      <c r="E45" s="34">
        <v>9.3342183514645196</v>
      </c>
      <c r="F45" s="34">
        <v>354.79483413696198</v>
      </c>
      <c r="G45" s="94"/>
      <c r="H45" s="88"/>
      <c r="I45" s="91"/>
      <c r="J45" s="21">
        <v>1423.69389662146</v>
      </c>
      <c r="K45" s="91"/>
      <c r="L45" s="78"/>
    </row>
    <row r="46" spans="1:12" x14ac:dyDescent="0.25">
      <c r="A46" s="80"/>
      <c r="B46" s="80"/>
      <c r="C46" s="51"/>
      <c r="D46" s="34">
        <v>2850.3164122450298</v>
      </c>
      <c r="E46" s="34">
        <v>15.8508225941076</v>
      </c>
      <c r="F46" s="34">
        <v>285.49033403396601</v>
      </c>
      <c r="G46" s="94"/>
      <c r="H46" s="88"/>
      <c r="I46" s="91"/>
      <c r="J46" s="21">
        <v>1636.2255703163901</v>
      </c>
      <c r="K46" s="91"/>
      <c r="L46" s="78"/>
    </row>
    <row r="47" spans="1:12" ht="14.5" thickBot="1" x14ac:dyDescent="0.3">
      <c r="A47" s="81"/>
      <c r="B47" s="81"/>
      <c r="C47" s="52"/>
      <c r="D47" s="35">
        <v>2437.4913816160401</v>
      </c>
      <c r="E47" s="35">
        <v>9.4352898667840392</v>
      </c>
      <c r="F47" s="35">
        <v>320.88854765892</v>
      </c>
      <c r="G47" s="95"/>
      <c r="H47" s="89"/>
      <c r="I47" s="92"/>
      <c r="J47" s="22">
        <v>1423.2960475063701</v>
      </c>
      <c r="K47" s="92"/>
      <c r="L47" s="78"/>
    </row>
    <row r="49" spans="5:5" x14ac:dyDescent="0.25">
      <c r="E49" s="19">
        <f>AVERAGE(E3:E47)</f>
        <v>11.485877442637587</v>
      </c>
    </row>
  </sheetData>
  <sortState xmlns:xlrd2="http://schemas.microsoft.com/office/spreadsheetml/2017/richdata2" ref="A3:C47">
    <sortCondition descending="1" ref="B2:B47"/>
  </sortState>
  <mergeCells count="64">
    <mergeCell ref="L28:L32"/>
    <mergeCell ref="L33:L37"/>
    <mergeCell ref="L38:L42"/>
    <mergeCell ref="L43:L47"/>
    <mergeCell ref="B33:B47"/>
    <mergeCell ref="C33:C37"/>
    <mergeCell ref="C38:C42"/>
    <mergeCell ref="C43:C47"/>
    <mergeCell ref="B18:B32"/>
    <mergeCell ref="C18:C22"/>
    <mergeCell ref="C23:C27"/>
    <mergeCell ref="C28:C32"/>
    <mergeCell ref="L3:L7"/>
    <mergeCell ref="L8:L12"/>
    <mergeCell ref="L13:L17"/>
    <mergeCell ref="G43:G47"/>
    <mergeCell ref="G3:G7"/>
    <mergeCell ref="G8:G12"/>
    <mergeCell ref="G13:G17"/>
    <mergeCell ref="G18:G22"/>
    <mergeCell ref="G23:G27"/>
    <mergeCell ref="K38:K42"/>
    <mergeCell ref="K43:K47"/>
    <mergeCell ref="G28:G32"/>
    <mergeCell ref="G33:G37"/>
    <mergeCell ref="G38:G42"/>
    <mergeCell ref="L18:L22"/>
    <mergeCell ref="L23:L27"/>
    <mergeCell ref="K28:K32"/>
    <mergeCell ref="K33:K37"/>
    <mergeCell ref="J1:K1"/>
    <mergeCell ref="A1:A2"/>
    <mergeCell ref="B1:B2"/>
    <mergeCell ref="C1:C2"/>
    <mergeCell ref="D1:I1"/>
    <mergeCell ref="A3:A47"/>
    <mergeCell ref="B3:B17"/>
    <mergeCell ref="C3:C7"/>
    <mergeCell ref="C8:C12"/>
    <mergeCell ref="C13:C17"/>
    <mergeCell ref="K3:K7"/>
    <mergeCell ref="K8:K12"/>
    <mergeCell ref="K13:K17"/>
    <mergeCell ref="K18:K22"/>
    <mergeCell ref="K23:K27"/>
    <mergeCell ref="H43:H47"/>
    <mergeCell ref="I43:I47"/>
    <mergeCell ref="H18:H22"/>
    <mergeCell ref="I18:I22"/>
    <mergeCell ref="H23:H27"/>
    <mergeCell ref="I23:I27"/>
    <mergeCell ref="H28:H32"/>
    <mergeCell ref="I28:I32"/>
    <mergeCell ref="L1:L2"/>
    <mergeCell ref="H33:H37"/>
    <mergeCell ref="I33:I37"/>
    <mergeCell ref="H38:H42"/>
    <mergeCell ref="I38:I42"/>
    <mergeCell ref="H3:H7"/>
    <mergeCell ref="I3:I7"/>
    <mergeCell ref="H8:H12"/>
    <mergeCell ref="I8:I12"/>
    <mergeCell ref="H13:H17"/>
    <mergeCell ref="I13:I17"/>
  </mergeCells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9"/>
  <sheetViews>
    <sheetView tabSelected="1" zoomScale="80" zoomScaleNormal="80" workbookViewId="0">
      <selection activeCell="N19" sqref="N19"/>
    </sheetView>
  </sheetViews>
  <sheetFormatPr defaultColWidth="9" defaultRowHeight="14" x14ac:dyDescent="0.25"/>
  <cols>
    <col min="7" max="7" width="12" style="1" customWidth="1"/>
    <col min="8" max="12" width="9.1796875" style="1" customWidth="1"/>
  </cols>
  <sheetData>
    <row r="1" spans="1:12" ht="14.5" thickBot="1" x14ac:dyDescent="0.3">
      <c r="A1" s="57" t="s">
        <v>11</v>
      </c>
      <c r="B1" s="58" t="s">
        <v>12</v>
      </c>
      <c r="C1" s="57" t="s">
        <v>13</v>
      </c>
      <c r="D1" s="73" t="s">
        <v>0</v>
      </c>
      <c r="E1" s="74"/>
      <c r="F1" s="74"/>
      <c r="G1" s="75"/>
      <c r="H1" s="75"/>
      <c r="I1" s="56"/>
      <c r="J1" s="55" t="s">
        <v>10</v>
      </c>
      <c r="K1" s="56"/>
      <c r="L1" s="85" t="s">
        <v>20</v>
      </c>
    </row>
    <row r="2" spans="1:12" ht="14.5" thickBot="1" x14ac:dyDescent="0.3">
      <c r="A2" s="52"/>
      <c r="B2" s="59"/>
      <c r="C2" s="51"/>
      <c r="D2" s="20" t="s">
        <v>14</v>
      </c>
      <c r="E2" s="36" t="s">
        <v>15</v>
      </c>
      <c r="F2" s="37" t="s">
        <v>16</v>
      </c>
      <c r="G2" s="36" t="s">
        <v>3</v>
      </c>
      <c r="H2" s="20" t="s">
        <v>4</v>
      </c>
      <c r="I2" s="37" t="s">
        <v>5</v>
      </c>
      <c r="J2" s="16" t="s">
        <v>9</v>
      </c>
      <c r="K2" s="17"/>
      <c r="L2" s="86"/>
    </row>
    <row r="3" spans="1:12" x14ac:dyDescent="0.25">
      <c r="A3" s="80">
        <v>144</v>
      </c>
      <c r="B3" s="79" t="s">
        <v>6</v>
      </c>
      <c r="C3" s="57" t="s">
        <v>17</v>
      </c>
      <c r="D3" s="38">
        <v>6657.3556431273701</v>
      </c>
      <c r="E3" s="39">
        <v>21.314875649081301</v>
      </c>
      <c r="F3" s="40">
        <v>767.43608832359303</v>
      </c>
      <c r="G3" s="66">
        <v>6717.8499977317142</v>
      </c>
      <c r="H3" s="82">
        <v>6975.0271531341896</v>
      </c>
      <c r="I3" s="69">
        <v>6550.0395489064103</v>
      </c>
      <c r="J3" s="23">
        <v>5790.5412821830696</v>
      </c>
      <c r="K3" s="102">
        <f>AVERAGE(J3:J7)</f>
        <v>5669.2995364412272</v>
      </c>
      <c r="L3" s="78">
        <f>(G3-K3)/K3</f>
        <v>0.1849523833677503</v>
      </c>
    </row>
    <row r="4" spans="1:12" x14ac:dyDescent="0.25">
      <c r="A4" s="80"/>
      <c r="B4" s="80"/>
      <c r="C4" s="51"/>
      <c r="D4" s="41">
        <v>6550.0395489064103</v>
      </c>
      <c r="E4" s="42">
        <v>19.975937134510701</v>
      </c>
      <c r="F4" s="43">
        <v>739.21819710731495</v>
      </c>
      <c r="G4" s="67"/>
      <c r="H4" s="83"/>
      <c r="I4" s="70"/>
      <c r="J4" s="23">
        <v>5718.6121638383302</v>
      </c>
      <c r="K4" s="103"/>
      <c r="L4" s="78"/>
    </row>
    <row r="5" spans="1:12" x14ac:dyDescent="0.25">
      <c r="A5" s="80"/>
      <c r="B5" s="80"/>
      <c r="C5" s="51"/>
      <c r="D5" s="41">
        <v>6975.0271531341896</v>
      </c>
      <c r="E5" s="42">
        <v>22.1927907798025</v>
      </c>
      <c r="F5" s="43">
        <v>799.04202103614796</v>
      </c>
      <c r="G5" s="67"/>
      <c r="H5" s="83"/>
      <c r="I5" s="70"/>
      <c r="J5" s="23">
        <v>5855.9853874636101</v>
      </c>
      <c r="K5" s="103"/>
      <c r="L5" s="78"/>
    </row>
    <row r="6" spans="1:12" x14ac:dyDescent="0.25">
      <c r="A6" s="80"/>
      <c r="B6" s="80"/>
      <c r="C6" s="51"/>
      <c r="D6" s="41">
        <v>6733.2100068563796</v>
      </c>
      <c r="E6" s="42">
        <v>19.3116669347209</v>
      </c>
      <c r="F6" s="43">
        <v>598.75626087188698</v>
      </c>
      <c r="G6" s="67"/>
      <c r="H6" s="83"/>
      <c r="I6" s="70"/>
      <c r="J6" s="23">
        <v>5318.8302871343603</v>
      </c>
      <c r="K6" s="103"/>
      <c r="L6" s="78"/>
    </row>
    <row r="7" spans="1:12" ht="14.5" thickBot="1" x14ac:dyDescent="0.3">
      <c r="A7" s="80"/>
      <c r="B7" s="80"/>
      <c r="C7" s="52"/>
      <c r="D7" s="44">
        <v>6673.6176366342197</v>
      </c>
      <c r="E7" s="45">
        <v>20.589685544371601</v>
      </c>
      <c r="F7" s="46">
        <v>658.96551728248596</v>
      </c>
      <c r="G7" s="68"/>
      <c r="H7" s="84"/>
      <c r="I7" s="71"/>
      <c r="J7" s="23">
        <v>5662.5285615867697</v>
      </c>
      <c r="K7" s="103"/>
      <c r="L7" s="78"/>
    </row>
    <row r="8" spans="1:12" x14ac:dyDescent="0.25">
      <c r="A8" s="80"/>
      <c r="B8" s="80"/>
      <c r="C8" s="104" t="s">
        <v>18</v>
      </c>
      <c r="D8" s="41">
        <v>6629.5339547930298</v>
      </c>
      <c r="E8" s="42">
        <v>22.166976332664401</v>
      </c>
      <c r="F8" s="43">
        <v>886.78956985473599</v>
      </c>
      <c r="G8" s="67">
        <v>6753.3481906424804</v>
      </c>
      <c r="H8" s="83">
        <v>6913.5483901009102</v>
      </c>
      <c r="I8" s="70">
        <v>6629.5339547930298</v>
      </c>
      <c r="J8" s="23">
        <v>5400.7744898267802</v>
      </c>
      <c r="K8" s="102">
        <f t="shared" ref="K8" si="0">AVERAGE(J8:J12)</f>
        <v>5315.5512572844918</v>
      </c>
      <c r="L8" s="78">
        <f>(G8-K8)/K8</f>
        <v>0.27048877223930734</v>
      </c>
    </row>
    <row r="9" spans="1:12" x14ac:dyDescent="0.25">
      <c r="A9" s="80"/>
      <c r="B9" s="80"/>
      <c r="C9" s="51"/>
      <c r="D9" s="41">
        <v>6653.96261668237</v>
      </c>
      <c r="E9" s="42">
        <v>23.336374578652499</v>
      </c>
      <c r="F9" s="43">
        <v>1260.30958080291</v>
      </c>
      <c r="G9" s="67"/>
      <c r="H9" s="83"/>
      <c r="I9" s="70"/>
      <c r="J9" s="23">
        <v>5424.2182706403801</v>
      </c>
      <c r="K9" s="103"/>
      <c r="L9" s="78"/>
    </row>
    <row r="10" spans="1:12" x14ac:dyDescent="0.25">
      <c r="A10" s="80"/>
      <c r="B10" s="80"/>
      <c r="C10" s="51"/>
      <c r="D10" s="41">
        <v>6754.7243598486803</v>
      </c>
      <c r="E10" s="42">
        <v>26.929514727809199</v>
      </c>
      <c r="F10" s="43">
        <v>1185.02011609077</v>
      </c>
      <c r="G10" s="67"/>
      <c r="H10" s="83"/>
      <c r="I10" s="70"/>
      <c r="J10" s="23">
        <v>4557.3035494767701</v>
      </c>
      <c r="K10" s="103"/>
      <c r="L10" s="78"/>
    </row>
    <row r="11" spans="1:12" x14ac:dyDescent="0.25">
      <c r="A11" s="80"/>
      <c r="B11" s="80"/>
      <c r="C11" s="51"/>
      <c r="D11" s="41">
        <v>6913.5483901009102</v>
      </c>
      <c r="E11" s="42">
        <v>24.4435208699642</v>
      </c>
      <c r="F11" s="43">
        <v>953.40882253646805</v>
      </c>
      <c r="G11" s="67"/>
      <c r="H11" s="83"/>
      <c r="I11" s="70"/>
      <c r="J11" s="23">
        <v>5479.5224498468797</v>
      </c>
      <c r="K11" s="103"/>
      <c r="L11" s="78"/>
    </row>
    <row r="12" spans="1:12" ht="14.5" thickBot="1" x14ac:dyDescent="0.3">
      <c r="A12" s="80"/>
      <c r="B12" s="80"/>
      <c r="C12" s="51"/>
      <c r="D12" s="41">
        <v>6814.9716317874099</v>
      </c>
      <c r="E12" s="42">
        <v>20.554301090018601</v>
      </c>
      <c r="F12" s="43">
        <v>883.95542287826504</v>
      </c>
      <c r="G12" s="67"/>
      <c r="H12" s="83"/>
      <c r="I12" s="70"/>
      <c r="J12" s="23">
        <v>5715.9375266316501</v>
      </c>
      <c r="K12" s="103"/>
      <c r="L12" s="78"/>
    </row>
    <row r="13" spans="1:12" x14ac:dyDescent="0.25">
      <c r="A13" s="80"/>
      <c r="B13" s="80"/>
      <c r="C13" s="57" t="s">
        <v>19</v>
      </c>
      <c r="D13" s="38">
        <v>4724.52030619795</v>
      </c>
      <c r="E13" s="39">
        <v>20.249945777433801</v>
      </c>
      <c r="F13" s="40">
        <v>1093.64143776893</v>
      </c>
      <c r="G13" s="66">
        <v>4682.9413892400644</v>
      </c>
      <c r="H13" s="82">
        <v>5055.9035777731897</v>
      </c>
      <c r="I13" s="69">
        <v>4534.03736833115</v>
      </c>
      <c r="J13" s="23">
        <v>3656.2393816217</v>
      </c>
      <c r="K13" s="102">
        <f t="shared" ref="K13" si="1">AVERAGE(J13:J17)</f>
        <v>3179.2185337926721</v>
      </c>
      <c r="L13" s="78">
        <f>(G13-K13)/K13</f>
        <v>0.47298505575001004</v>
      </c>
    </row>
    <row r="14" spans="1:12" x14ac:dyDescent="0.25">
      <c r="A14" s="80"/>
      <c r="B14" s="80"/>
      <c r="C14" s="51"/>
      <c r="D14" s="41">
        <v>4541.1178811887703</v>
      </c>
      <c r="E14" s="42">
        <v>24.381741056636798</v>
      </c>
      <c r="F14" s="43">
        <v>1194.8377339839899</v>
      </c>
      <c r="G14" s="67"/>
      <c r="H14" s="83"/>
      <c r="I14" s="70"/>
      <c r="J14" s="23">
        <v>3360.6730436276098</v>
      </c>
      <c r="K14" s="103"/>
      <c r="L14" s="78"/>
    </row>
    <row r="15" spans="1:12" x14ac:dyDescent="0.25">
      <c r="A15" s="80"/>
      <c r="B15" s="80"/>
      <c r="C15" s="51"/>
      <c r="D15" s="41">
        <v>4559.1278127092601</v>
      </c>
      <c r="E15" s="42">
        <v>20.907207476465299</v>
      </c>
      <c r="F15" s="43">
        <v>1191.85917711257</v>
      </c>
      <c r="G15" s="67"/>
      <c r="H15" s="83"/>
      <c r="I15" s="70"/>
      <c r="J15" s="23">
        <v>3312.01062908109</v>
      </c>
      <c r="K15" s="103"/>
      <c r="L15" s="78"/>
    </row>
    <row r="16" spans="1:12" x14ac:dyDescent="0.25">
      <c r="A16" s="80"/>
      <c r="B16" s="80"/>
      <c r="C16" s="51"/>
      <c r="D16" s="41">
        <v>5055.9035777731897</v>
      </c>
      <c r="E16" s="42">
        <v>19.587761917284499</v>
      </c>
      <c r="F16" s="43">
        <v>1097.0660064220399</v>
      </c>
      <c r="G16" s="67"/>
      <c r="H16" s="83"/>
      <c r="I16" s="70"/>
      <c r="J16" s="23">
        <v>2952.6157835435001</v>
      </c>
      <c r="K16" s="103"/>
      <c r="L16" s="78"/>
    </row>
    <row r="17" spans="1:12" ht="14.5" thickBot="1" x14ac:dyDescent="0.3">
      <c r="A17" s="80"/>
      <c r="B17" s="81"/>
      <c r="C17" s="51"/>
      <c r="D17" s="44">
        <v>4534.03736833115</v>
      </c>
      <c r="E17" s="45">
        <v>20.703785900886199</v>
      </c>
      <c r="F17" s="46">
        <v>1076.7422418594299</v>
      </c>
      <c r="G17" s="68"/>
      <c r="H17" s="84"/>
      <c r="I17" s="71"/>
      <c r="J17" s="23">
        <v>2614.5538310894599</v>
      </c>
      <c r="K17" s="103"/>
      <c r="L17" s="78"/>
    </row>
    <row r="18" spans="1:12" x14ac:dyDescent="0.25">
      <c r="A18" s="80"/>
      <c r="B18" s="79" t="s">
        <v>7</v>
      </c>
      <c r="C18" s="57" t="s">
        <v>17</v>
      </c>
      <c r="D18" s="41">
        <v>4335.7033687835201</v>
      </c>
      <c r="E18" s="42">
        <v>18.406382015016298</v>
      </c>
      <c r="F18" s="43">
        <v>828.40468645095802</v>
      </c>
      <c r="G18" s="67">
        <v>4248.1293404046673</v>
      </c>
      <c r="H18" s="83">
        <v>4368.2489572351496</v>
      </c>
      <c r="I18" s="70">
        <v>4082.7228245565102</v>
      </c>
      <c r="J18" s="23">
        <v>3487.4329289940802</v>
      </c>
      <c r="K18" s="102">
        <f t="shared" ref="K18" si="2">AVERAGE(J18:J22)</f>
        <v>3409.7395296179079</v>
      </c>
      <c r="L18" s="78">
        <f>(G18-K18)/K18</f>
        <v>0.24588089603451574</v>
      </c>
    </row>
    <row r="19" spans="1:12" x14ac:dyDescent="0.25">
      <c r="A19" s="80"/>
      <c r="B19" s="80"/>
      <c r="C19" s="51"/>
      <c r="D19" s="41">
        <v>4368.2489572351496</v>
      </c>
      <c r="E19" s="42">
        <v>19.4021700620651</v>
      </c>
      <c r="F19" s="43">
        <v>737.38801074028004</v>
      </c>
      <c r="G19" s="67"/>
      <c r="H19" s="83"/>
      <c r="I19" s="70"/>
      <c r="J19" s="23">
        <v>3370.3053722733498</v>
      </c>
      <c r="K19" s="103"/>
      <c r="L19" s="78"/>
    </row>
    <row r="20" spans="1:12" x14ac:dyDescent="0.25">
      <c r="A20" s="80"/>
      <c r="B20" s="80"/>
      <c r="C20" s="51"/>
      <c r="D20" s="41">
        <v>4126.2296111454498</v>
      </c>
      <c r="E20" s="42">
        <v>20.233540073037101</v>
      </c>
      <c r="F20" s="43">
        <v>971.33837842941205</v>
      </c>
      <c r="G20" s="67"/>
      <c r="H20" s="83"/>
      <c r="I20" s="70"/>
      <c r="J20" s="23">
        <v>3474.5931442893202</v>
      </c>
      <c r="K20" s="103"/>
      <c r="L20" s="78"/>
    </row>
    <row r="21" spans="1:12" x14ac:dyDescent="0.25">
      <c r="A21" s="80"/>
      <c r="B21" s="80"/>
      <c r="C21" s="51"/>
      <c r="D21" s="41">
        <v>4082.7228245565102</v>
      </c>
      <c r="E21" s="42">
        <v>20.1252366125583</v>
      </c>
      <c r="F21" s="43">
        <v>805.11799788475003</v>
      </c>
      <c r="G21" s="67"/>
      <c r="H21" s="83"/>
      <c r="I21" s="70"/>
      <c r="J21" s="23">
        <v>3436.65866024147</v>
      </c>
      <c r="K21" s="103"/>
      <c r="L21" s="78"/>
    </row>
    <row r="22" spans="1:12" ht="14.5" thickBot="1" x14ac:dyDescent="0.3">
      <c r="A22" s="80"/>
      <c r="B22" s="80"/>
      <c r="C22" s="51"/>
      <c r="D22" s="41">
        <v>4327.7419403027097</v>
      </c>
      <c r="E22" s="42">
        <v>24.0931785485961</v>
      </c>
      <c r="F22" s="43">
        <v>1060.2163431644401</v>
      </c>
      <c r="G22" s="67"/>
      <c r="H22" s="83"/>
      <c r="I22" s="70"/>
      <c r="J22" s="23">
        <v>3279.7075422913199</v>
      </c>
      <c r="K22" s="103"/>
      <c r="L22" s="78"/>
    </row>
    <row r="23" spans="1:12" x14ac:dyDescent="0.25">
      <c r="A23" s="80"/>
      <c r="B23" s="80"/>
      <c r="C23" s="57" t="s">
        <v>18</v>
      </c>
      <c r="D23" s="38">
        <v>5427.3828969877304</v>
      </c>
      <c r="E23" s="39">
        <v>22.9172433767563</v>
      </c>
      <c r="F23" s="40">
        <v>893.885005235672</v>
      </c>
      <c r="G23" s="66">
        <v>5671.9350675718597</v>
      </c>
      <c r="H23" s="82">
        <v>5976.12232619104</v>
      </c>
      <c r="I23" s="69">
        <v>5427.3828969877304</v>
      </c>
      <c r="J23" s="23">
        <v>4356.0324305333197</v>
      </c>
      <c r="K23" s="102">
        <f t="shared" ref="K23" si="3">AVERAGE(J23:J27)</f>
        <v>4535.5515949654018</v>
      </c>
      <c r="L23" s="78">
        <f>(G23-K23)/K23</f>
        <v>0.2505502249975235</v>
      </c>
    </row>
    <row r="24" spans="1:12" x14ac:dyDescent="0.25">
      <c r="A24" s="80"/>
      <c r="B24" s="80"/>
      <c r="C24" s="51"/>
      <c r="D24" s="41">
        <v>5976.12232619104</v>
      </c>
      <c r="E24" s="42">
        <v>20.193781992284201</v>
      </c>
      <c r="F24" s="43">
        <v>828.05757546424798</v>
      </c>
      <c r="G24" s="67"/>
      <c r="H24" s="83"/>
      <c r="I24" s="70"/>
      <c r="J24" s="23">
        <v>4765.0498087272899</v>
      </c>
      <c r="K24" s="103"/>
      <c r="L24" s="78"/>
    </row>
    <row r="25" spans="1:12" x14ac:dyDescent="0.25">
      <c r="A25" s="80"/>
      <c r="B25" s="80"/>
      <c r="C25" s="51"/>
      <c r="D25" s="41">
        <v>5733.1575952805797</v>
      </c>
      <c r="E25" s="42">
        <v>22.836048815561298</v>
      </c>
      <c r="F25" s="43">
        <v>1050.58269667625</v>
      </c>
      <c r="G25" s="67"/>
      <c r="H25" s="83"/>
      <c r="I25" s="70"/>
      <c r="J25" s="23">
        <v>4608.32881880682</v>
      </c>
      <c r="K25" s="103"/>
      <c r="L25" s="78"/>
    </row>
    <row r="26" spans="1:12" x14ac:dyDescent="0.25">
      <c r="A26" s="80"/>
      <c r="B26" s="80"/>
      <c r="C26" s="51"/>
      <c r="D26" s="41">
        <v>5647.7432242363902</v>
      </c>
      <c r="E26" s="42">
        <v>19.652425625385298</v>
      </c>
      <c r="F26" s="43">
        <v>766.55274605751003</v>
      </c>
      <c r="G26" s="67"/>
      <c r="H26" s="83"/>
      <c r="I26" s="70"/>
      <c r="J26" s="23">
        <v>4296.6065263926002</v>
      </c>
      <c r="K26" s="103"/>
      <c r="L26" s="78"/>
    </row>
    <row r="27" spans="1:12" ht="14.5" thickBot="1" x14ac:dyDescent="0.3">
      <c r="A27" s="80"/>
      <c r="B27" s="80"/>
      <c r="C27" s="51"/>
      <c r="D27" s="44">
        <v>5575.2692951635599</v>
      </c>
      <c r="E27" s="45">
        <v>20.366464315316598</v>
      </c>
      <c r="F27" s="46">
        <v>794.40162515640202</v>
      </c>
      <c r="G27" s="68"/>
      <c r="H27" s="84"/>
      <c r="I27" s="71"/>
      <c r="J27" s="23">
        <v>4651.7403903669801</v>
      </c>
      <c r="K27" s="103"/>
      <c r="L27" s="78"/>
    </row>
    <row r="28" spans="1:12" x14ac:dyDescent="0.25">
      <c r="A28" s="80"/>
      <c r="B28" s="80"/>
      <c r="C28" s="57" t="s">
        <v>19</v>
      </c>
      <c r="D28" s="41">
        <v>3293.7403314776798</v>
      </c>
      <c r="E28" s="42">
        <v>20.9992920414346</v>
      </c>
      <c r="F28" s="43">
        <v>1281.11411976814</v>
      </c>
      <c r="G28" s="67">
        <v>3406.0873028424458</v>
      </c>
      <c r="H28" s="83">
        <v>3712.7319187010999</v>
      </c>
      <c r="I28" s="70">
        <v>3287.8723260075299</v>
      </c>
      <c r="J28" s="23">
        <v>1859.6220258793501</v>
      </c>
      <c r="K28" s="102">
        <f t="shared" ref="K28" si="4">AVERAGE(J28:J32)</f>
        <v>2163.0316946566045</v>
      </c>
      <c r="L28" s="78">
        <f>(G28-K28)/K28</f>
        <v>0.5746821053323421</v>
      </c>
    </row>
    <row r="29" spans="1:12" x14ac:dyDescent="0.25">
      <c r="A29" s="80"/>
      <c r="B29" s="80"/>
      <c r="C29" s="51"/>
      <c r="D29" s="41">
        <v>3305.28034273095</v>
      </c>
      <c r="E29" s="42">
        <v>22.723414312329201</v>
      </c>
      <c r="F29" s="43">
        <v>1295.3939070701599</v>
      </c>
      <c r="G29" s="67"/>
      <c r="H29" s="83"/>
      <c r="I29" s="70"/>
      <c r="J29" s="23">
        <v>1916.27394517114</v>
      </c>
      <c r="K29" s="103"/>
      <c r="L29" s="78"/>
    </row>
    <row r="30" spans="1:12" x14ac:dyDescent="0.25">
      <c r="A30" s="80"/>
      <c r="B30" s="80"/>
      <c r="C30" s="51"/>
      <c r="D30" s="41">
        <v>3712.7319187010999</v>
      </c>
      <c r="E30" s="42">
        <v>21.7405451920072</v>
      </c>
      <c r="F30" s="43">
        <v>1282.8504688739699</v>
      </c>
      <c r="G30" s="67"/>
      <c r="H30" s="83"/>
      <c r="I30" s="70"/>
      <c r="J30" s="23">
        <v>2263.3625175178199</v>
      </c>
      <c r="K30" s="103"/>
      <c r="L30" s="78"/>
    </row>
    <row r="31" spans="1:12" x14ac:dyDescent="0.25">
      <c r="A31" s="80"/>
      <c r="B31" s="80"/>
      <c r="C31" s="51"/>
      <c r="D31" s="41">
        <v>3287.8723260075299</v>
      </c>
      <c r="E31" s="42">
        <v>18.422368025078399</v>
      </c>
      <c r="F31" s="43">
        <v>1252.9009191989801</v>
      </c>
      <c r="G31" s="67"/>
      <c r="H31" s="83"/>
      <c r="I31" s="70"/>
      <c r="J31" s="23">
        <v>2236.01900898031</v>
      </c>
      <c r="K31" s="103"/>
      <c r="L31" s="78"/>
    </row>
    <row r="32" spans="1:12" ht="14.5" thickBot="1" x14ac:dyDescent="0.3">
      <c r="A32" s="80"/>
      <c r="B32" s="81"/>
      <c r="C32" s="51"/>
      <c r="D32" s="41">
        <v>3430.8115952949702</v>
      </c>
      <c r="E32" s="42">
        <v>23.023018606247401</v>
      </c>
      <c r="F32" s="43">
        <v>1427.57849764823</v>
      </c>
      <c r="G32" s="67"/>
      <c r="H32" s="83"/>
      <c r="I32" s="70"/>
      <c r="J32" s="23">
        <v>2539.8809757344002</v>
      </c>
      <c r="K32" s="103"/>
      <c r="L32" s="78"/>
    </row>
    <row r="33" spans="1:12" x14ac:dyDescent="0.25">
      <c r="A33" s="80"/>
      <c r="B33" s="79" t="s">
        <v>8</v>
      </c>
      <c r="C33" s="57" t="s">
        <v>17</v>
      </c>
      <c r="D33" s="38">
        <v>5415.4306950779401</v>
      </c>
      <c r="E33" s="39">
        <v>25.894643117080999</v>
      </c>
      <c r="F33" s="40">
        <v>1139.4817900657599</v>
      </c>
      <c r="G33" s="66">
        <v>5507.1428785519429</v>
      </c>
      <c r="H33" s="82">
        <v>5692.5806201293099</v>
      </c>
      <c r="I33" s="69">
        <v>5283.3793231548098</v>
      </c>
      <c r="J33" s="23">
        <v>3503.6505139803098</v>
      </c>
      <c r="K33" s="102">
        <f t="shared" ref="K33" si="5">AVERAGE(J33:J37)</f>
        <v>3514.1401499910944</v>
      </c>
      <c r="L33" s="78">
        <f>(G33-K33)/K33</f>
        <v>0.56713808883402084</v>
      </c>
    </row>
    <row r="34" spans="1:12" x14ac:dyDescent="0.25">
      <c r="A34" s="80"/>
      <c r="B34" s="80"/>
      <c r="C34" s="51"/>
      <c r="D34" s="41">
        <v>5476.9017363869798</v>
      </c>
      <c r="E34" s="42">
        <v>23.038111158445702</v>
      </c>
      <c r="F34" s="43">
        <v>1175.07608771324</v>
      </c>
      <c r="G34" s="67"/>
      <c r="H34" s="83"/>
      <c r="I34" s="70"/>
      <c r="J34" s="23">
        <v>2987.8160421873999</v>
      </c>
      <c r="K34" s="103"/>
      <c r="L34" s="78"/>
    </row>
    <row r="35" spans="1:12" x14ac:dyDescent="0.25">
      <c r="A35" s="80"/>
      <c r="B35" s="80"/>
      <c r="C35" s="51"/>
      <c r="D35" s="41">
        <v>5692.5806201293099</v>
      </c>
      <c r="E35" s="42">
        <v>22.219099328873</v>
      </c>
      <c r="F35" s="43">
        <v>1044.4320790767599</v>
      </c>
      <c r="G35" s="67"/>
      <c r="H35" s="83"/>
      <c r="I35" s="70"/>
      <c r="J35" s="23">
        <v>3138.4604430188301</v>
      </c>
      <c r="K35" s="103"/>
      <c r="L35" s="78"/>
    </row>
    <row r="36" spans="1:12" x14ac:dyDescent="0.25">
      <c r="A36" s="80"/>
      <c r="B36" s="80"/>
      <c r="C36" s="51"/>
      <c r="D36" s="41">
        <v>5667.4220180106704</v>
      </c>
      <c r="E36" s="42">
        <v>22.397611773931001</v>
      </c>
      <c r="F36" s="43">
        <v>1164.81221413612</v>
      </c>
      <c r="G36" s="67"/>
      <c r="H36" s="83"/>
      <c r="I36" s="70"/>
      <c r="J36" s="23">
        <v>3564.8892655708801</v>
      </c>
      <c r="K36" s="103"/>
      <c r="L36" s="78"/>
    </row>
    <row r="37" spans="1:12" ht="14.5" thickBot="1" x14ac:dyDescent="0.3">
      <c r="A37" s="80"/>
      <c r="B37" s="80"/>
      <c r="C37" s="51"/>
      <c r="D37" s="44">
        <v>5283.3793231548098</v>
      </c>
      <c r="E37" s="45">
        <v>20.721707804997699</v>
      </c>
      <c r="F37" s="46">
        <v>932.60031509399403</v>
      </c>
      <c r="G37" s="68"/>
      <c r="H37" s="84"/>
      <c r="I37" s="71"/>
      <c r="J37" s="23">
        <v>4375.8844851980502</v>
      </c>
      <c r="K37" s="103"/>
      <c r="L37" s="78"/>
    </row>
    <row r="38" spans="1:12" x14ac:dyDescent="0.25">
      <c r="A38" s="80"/>
      <c r="B38" s="80"/>
      <c r="C38" s="57" t="s">
        <v>18</v>
      </c>
      <c r="D38" s="38">
        <v>8057.4938303444897</v>
      </c>
      <c r="E38" s="39">
        <v>20.454549613751801</v>
      </c>
      <c r="F38" s="40">
        <v>777.37842988967896</v>
      </c>
      <c r="G38" s="67">
        <v>8286.3501641377552</v>
      </c>
      <c r="H38" s="83">
        <v>8548.7686418190497</v>
      </c>
      <c r="I38" s="70">
        <v>8057.4938303444897</v>
      </c>
      <c r="J38" s="23">
        <v>6758.4274512421998</v>
      </c>
      <c r="K38" s="102">
        <f t="shared" ref="K38" si="6">AVERAGE(J38:J42)</f>
        <v>6636.6474906974327</v>
      </c>
      <c r="L38" s="78">
        <f>(G38-K38)/K38</f>
        <v>0.24857470217496189</v>
      </c>
    </row>
    <row r="39" spans="1:12" x14ac:dyDescent="0.25">
      <c r="A39" s="80"/>
      <c r="B39" s="80"/>
      <c r="C39" s="51"/>
      <c r="D39" s="41">
        <v>8356.4681119072502</v>
      </c>
      <c r="E39" s="42">
        <v>16.615838450193401</v>
      </c>
      <c r="F39" s="43">
        <v>664.74205803871098</v>
      </c>
      <c r="G39" s="67"/>
      <c r="H39" s="83"/>
      <c r="I39" s="70"/>
      <c r="J39" s="23">
        <v>6678.4951204298504</v>
      </c>
      <c r="K39" s="103"/>
      <c r="L39" s="78"/>
    </row>
    <row r="40" spans="1:12" x14ac:dyDescent="0.25">
      <c r="A40" s="80"/>
      <c r="B40" s="80"/>
      <c r="C40" s="51"/>
      <c r="D40" s="41">
        <v>8273.6692617737699</v>
      </c>
      <c r="E40" s="42">
        <v>20.720821149887499</v>
      </c>
      <c r="F40" s="43">
        <v>642.42810177803005</v>
      </c>
      <c r="G40" s="67"/>
      <c r="H40" s="83"/>
      <c r="I40" s="70"/>
      <c r="J40" s="23">
        <v>7202.0606762692596</v>
      </c>
      <c r="K40" s="103"/>
      <c r="L40" s="78"/>
    </row>
    <row r="41" spans="1:12" x14ac:dyDescent="0.25">
      <c r="A41" s="80"/>
      <c r="B41" s="80"/>
      <c r="C41" s="51"/>
      <c r="D41" s="41">
        <v>8195.3509748442193</v>
      </c>
      <c r="E41" s="42">
        <v>20.9654659135001</v>
      </c>
      <c r="F41" s="43">
        <v>733.88856363296497</v>
      </c>
      <c r="G41" s="67"/>
      <c r="H41" s="83"/>
      <c r="I41" s="70"/>
      <c r="J41" s="23">
        <v>6753.3788343241604</v>
      </c>
      <c r="K41" s="103"/>
      <c r="L41" s="78"/>
    </row>
    <row r="42" spans="1:12" ht="14.5" thickBot="1" x14ac:dyDescent="0.3">
      <c r="A42" s="80"/>
      <c r="B42" s="80"/>
      <c r="C42" s="51"/>
      <c r="D42" s="41">
        <v>8548.7686418190497</v>
      </c>
      <c r="E42" s="42">
        <v>18.1534128622575</v>
      </c>
      <c r="F42" s="43">
        <v>599.15457487106301</v>
      </c>
      <c r="G42" s="67"/>
      <c r="H42" s="83"/>
      <c r="I42" s="70"/>
      <c r="J42" s="23">
        <v>5790.8753712216903</v>
      </c>
      <c r="K42" s="103"/>
      <c r="L42" s="78"/>
    </row>
    <row r="43" spans="1:12" x14ac:dyDescent="0.25">
      <c r="A43" s="80"/>
      <c r="B43" s="80"/>
      <c r="C43" s="57" t="s">
        <v>19</v>
      </c>
      <c r="D43" s="50">
        <v>5610.8822045828001</v>
      </c>
      <c r="E43" s="39">
        <v>22.768139224303301</v>
      </c>
      <c r="F43" s="40">
        <v>844.20105075836102</v>
      </c>
      <c r="G43" s="66">
        <v>5071.7614765502603</v>
      </c>
      <c r="H43" s="82">
        <v>5610.8822045828001</v>
      </c>
      <c r="I43" s="69">
        <v>4726.6164144561799</v>
      </c>
      <c r="J43" s="23">
        <v>3206.8340543337699</v>
      </c>
      <c r="K43" s="102">
        <f t="shared" ref="K43" si="7">AVERAGE(J43:J47)</f>
        <v>3316.1067310372259</v>
      </c>
      <c r="L43" s="78">
        <f>(G43-K43)/K43</f>
        <v>0.52943252069691171</v>
      </c>
    </row>
    <row r="44" spans="1:12" x14ac:dyDescent="0.25">
      <c r="A44" s="80"/>
      <c r="B44" s="80"/>
      <c r="C44" s="51"/>
      <c r="D44" s="47">
        <v>4726.6164144561799</v>
      </c>
      <c r="E44" s="48">
        <v>20.7413376002084</v>
      </c>
      <c r="F44" s="49">
        <v>871.25266528129498</v>
      </c>
      <c r="G44" s="67"/>
      <c r="H44" s="83"/>
      <c r="I44" s="70"/>
      <c r="J44" s="23">
        <v>3151.7220621515598</v>
      </c>
      <c r="K44" s="103"/>
      <c r="L44" s="78"/>
    </row>
    <row r="45" spans="1:12" x14ac:dyDescent="0.25">
      <c r="A45" s="80"/>
      <c r="B45" s="80"/>
      <c r="C45" s="51"/>
      <c r="D45" s="41">
        <v>4796.3681887025896</v>
      </c>
      <c r="E45" s="42">
        <v>20.742523359697898</v>
      </c>
      <c r="F45" s="43">
        <v>892.04499936103798</v>
      </c>
      <c r="G45" s="67"/>
      <c r="H45" s="83"/>
      <c r="I45" s="70"/>
      <c r="J45" s="23">
        <v>2898.40068901927</v>
      </c>
      <c r="K45" s="103"/>
      <c r="L45" s="78"/>
    </row>
    <row r="46" spans="1:12" x14ac:dyDescent="0.25">
      <c r="A46" s="80"/>
      <c r="B46" s="80"/>
      <c r="C46" s="51"/>
      <c r="D46" s="41">
        <v>5046.41236313226</v>
      </c>
      <c r="E46" s="42">
        <v>21.420904074075001</v>
      </c>
      <c r="F46" s="43">
        <v>1135.44630885124</v>
      </c>
      <c r="G46" s="67"/>
      <c r="H46" s="83"/>
      <c r="I46" s="70"/>
      <c r="J46" s="23">
        <v>2904.65721227728</v>
      </c>
      <c r="K46" s="103"/>
      <c r="L46" s="78"/>
    </row>
    <row r="47" spans="1:12" ht="14.5" thickBot="1" x14ac:dyDescent="0.3">
      <c r="A47" s="81"/>
      <c r="B47" s="81"/>
      <c r="C47" s="52"/>
      <c r="D47" s="44">
        <v>5178.5282118774703</v>
      </c>
      <c r="E47" s="45">
        <v>22.456469641281998</v>
      </c>
      <c r="F47" s="46">
        <v>1167.87082767486</v>
      </c>
      <c r="G47" s="68"/>
      <c r="H47" s="84"/>
      <c r="I47" s="71"/>
      <c r="J47" s="23">
        <v>4418.9196374042504</v>
      </c>
      <c r="K47" s="103"/>
      <c r="L47" s="78"/>
    </row>
    <row r="48" spans="1:12" x14ac:dyDescent="0.25">
      <c r="D48" s="1"/>
      <c r="E48" s="1"/>
      <c r="F48" s="1"/>
    </row>
    <row r="49" spans="4:7" x14ac:dyDescent="0.25">
      <c r="D49" s="1"/>
      <c r="E49" s="1"/>
      <c r="F49" s="1"/>
      <c r="G49" s="1">
        <f>AVERAGE(G3:G47)</f>
        <v>5593.949534185911</v>
      </c>
    </row>
  </sheetData>
  <sortState xmlns:xlrd2="http://schemas.microsoft.com/office/spreadsheetml/2017/richdata2" ref="A3:C47">
    <sortCondition descending="1" ref="B2:B47"/>
  </sortState>
  <mergeCells count="64">
    <mergeCell ref="L23:L27"/>
    <mergeCell ref="L28:L32"/>
    <mergeCell ref="L33:L37"/>
    <mergeCell ref="L38:L42"/>
    <mergeCell ref="L43:L47"/>
    <mergeCell ref="A3:A47"/>
    <mergeCell ref="B3:B17"/>
    <mergeCell ref="C3:C7"/>
    <mergeCell ref="C8:C12"/>
    <mergeCell ref="C13:C17"/>
    <mergeCell ref="C18:C22"/>
    <mergeCell ref="C23:C27"/>
    <mergeCell ref="C28:C32"/>
    <mergeCell ref="C33:C37"/>
    <mergeCell ref="C38:C42"/>
    <mergeCell ref="C43:C47"/>
    <mergeCell ref="B18:B32"/>
    <mergeCell ref="B33:B47"/>
    <mergeCell ref="I43:I47"/>
    <mergeCell ref="K43:K47"/>
    <mergeCell ref="I3:I7"/>
    <mergeCell ref="I8:I12"/>
    <mergeCell ref="I13:I17"/>
    <mergeCell ref="I18:I22"/>
    <mergeCell ref="I23:I27"/>
    <mergeCell ref="K28:K32"/>
    <mergeCell ref="K33:K37"/>
    <mergeCell ref="K38:K42"/>
    <mergeCell ref="I28:I32"/>
    <mergeCell ref="I33:I37"/>
    <mergeCell ref="I38:I42"/>
    <mergeCell ref="G23:G27"/>
    <mergeCell ref="K3:K7"/>
    <mergeCell ref="K8:K12"/>
    <mergeCell ref="K13:K17"/>
    <mergeCell ref="K18:K22"/>
    <mergeCell ref="K23:K27"/>
    <mergeCell ref="G28:G32"/>
    <mergeCell ref="G33:G37"/>
    <mergeCell ref="G38:G42"/>
    <mergeCell ref="G43:G47"/>
    <mergeCell ref="H3:H7"/>
    <mergeCell ref="H8:H12"/>
    <mergeCell ref="H13:H17"/>
    <mergeCell ref="H18:H22"/>
    <mergeCell ref="H23:H27"/>
    <mergeCell ref="H28:H32"/>
    <mergeCell ref="H33:H37"/>
    <mergeCell ref="H38:H42"/>
    <mergeCell ref="H43:H47"/>
    <mergeCell ref="G3:G7"/>
    <mergeCell ref="G8:G12"/>
    <mergeCell ref="G13:G17"/>
    <mergeCell ref="A1:A2"/>
    <mergeCell ref="B1:B2"/>
    <mergeCell ref="C1:C2"/>
    <mergeCell ref="J1:K1"/>
    <mergeCell ref="D1:I1"/>
    <mergeCell ref="L1:L2"/>
    <mergeCell ref="G18:G22"/>
    <mergeCell ref="L3:L7"/>
    <mergeCell ref="L8:L12"/>
    <mergeCell ref="L13:L17"/>
    <mergeCell ref="L18:L22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"/>
  <sheetViews>
    <sheetView workbookViewId="0">
      <selection activeCell="P8" sqref="P8"/>
    </sheetView>
  </sheetViews>
  <sheetFormatPr defaultColWidth="9" defaultRowHeight="14" x14ac:dyDescent="0.25"/>
  <cols>
    <col min="1" max="1" width="9" style="1"/>
    <col min="2" max="2" width="12.81640625" style="1"/>
    <col min="3" max="3" width="9" style="1"/>
    <col min="4" max="4" width="12.81640625" style="1"/>
    <col min="5" max="5" width="9" style="1"/>
    <col min="6" max="6" width="12.81640625" style="1"/>
    <col min="7" max="7" width="9" style="1"/>
    <col min="8" max="8" width="11.7265625" style="1"/>
    <col min="9" max="9" width="9" style="1"/>
    <col min="10" max="10" width="12.81640625" style="1"/>
    <col min="11" max="11" width="9" style="1"/>
    <col min="12" max="12" width="12.81640625" style="1"/>
    <col min="13" max="13" width="9" style="1"/>
    <col min="14" max="14" width="12.81640625" style="1"/>
    <col min="15" max="15" width="9" style="1"/>
    <col min="16" max="16" width="11.7265625" style="1"/>
    <col min="17" max="17" width="9" style="1"/>
    <col min="18" max="18" width="12.81640625" style="1"/>
    <col min="19" max="19" width="9" style="1"/>
    <col min="20" max="20" width="14" style="1"/>
    <col min="21" max="16384" width="9" style="1"/>
  </cols>
  <sheetData>
    <row r="1" spans="1:21" x14ac:dyDescent="0.25">
      <c r="D1" s="108" t="s">
        <v>1</v>
      </c>
      <c r="E1" s="2"/>
      <c r="F1" s="105"/>
      <c r="G1" s="105"/>
      <c r="H1" s="105"/>
      <c r="I1" s="105"/>
      <c r="J1" s="105"/>
      <c r="K1" s="105"/>
      <c r="L1" s="106"/>
      <c r="M1" s="2"/>
      <c r="N1" s="107" t="s">
        <v>2</v>
      </c>
      <c r="O1" s="105"/>
      <c r="P1" s="105"/>
      <c r="Q1" s="105"/>
      <c r="R1" s="105"/>
      <c r="S1" s="105"/>
      <c r="T1" s="106"/>
      <c r="U1" s="12"/>
    </row>
    <row r="2" spans="1:21" x14ac:dyDescent="0.25">
      <c r="D2" s="109"/>
      <c r="E2" s="12"/>
      <c r="F2" s="3">
        <v>3</v>
      </c>
      <c r="G2" s="3"/>
      <c r="H2" s="3">
        <v>6</v>
      </c>
      <c r="I2" s="3"/>
      <c r="J2" s="3">
        <v>9</v>
      </c>
      <c r="K2" s="3"/>
      <c r="L2" s="4">
        <v>12</v>
      </c>
      <c r="M2" s="3"/>
      <c r="N2" s="5">
        <v>0.2</v>
      </c>
      <c r="O2" s="6"/>
      <c r="P2" s="6">
        <v>0.4</v>
      </c>
      <c r="Q2" s="6"/>
      <c r="R2" s="6">
        <v>0.6</v>
      </c>
      <c r="S2" s="6"/>
      <c r="T2" s="7">
        <v>0.8</v>
      </c>
      <c r="U2" s="6"/>
    </row>
    <row r="3" spans="1:21" x14ac:dyDescent="0.25">
      <c r="A3" s="8" t="s">
        <v>3</v>
      </c>
      <c r="B3" s="1">
        <f>AVERAGE(数据36!G49,数据72!E49,数据144!G49)</f>
        <v>2270.5902044524546</v>
      </c>
      <c r="C3" s="13" t="e">
        <f>AVERAGE(数据36!#REF!,数据72!F49,数据144!#REF!)</f>
        <v>#REF!</v>
      </c>
      <c r="D3" s="1" t="e">
        <f>AVERAGE(数据36!#REF!,数据72!#REF!,数据144!#REF!)</f>
        <v>#REF!</v>
      </c>
      <c r="E3" s="13" t="e">
        <f>AVERAGE(数据36!#REF!,数据72!#REF!,数据144!#REF!)</f>
        <v>#REF!</v>
      </c>
      <c r="F3" s="1" t="e">
        <f>AVERAGE(数据36!#REF!,数据72!#REF!,数据144!#REF!)</f>
        <v>#REF!</v>
      </c>
      <c r="G3" s="13" t="e">
        <f>AVERAGE(数据36!#REF!,数据72!#REF!,数据144!#REF!)</f>
        <v>#REF!</v>
      </c>
      <c r="H3" s="1" t="e">
        <f>AVERAGE(数据36!#REF!,数据72!#REF!,数据144!#REF!)</f>
        <v>#REF!</v>
      </c>
      <c r="I3" s="13" t="e">
        <f>AVERAGE(数据36!#REF!,数据72!#REF!,数据144!#REF!)</f>
        <v>#REF!</v>
      </c>
      <c r="J3" s="1" t="e">
        <f>AVERAGE(数据36!#REF!,数据72!#REF!,数据144!#REF!)</f>
        <v>#REF!</v>
      </c>
      <c r="K3" s="13" t="e">
        <f>AVERAGE(数据36!#REF!,数据72!#REF!,数据144!#REF!)</f>
        <v>#REF!</v>
      </c>
      <c r="L3" s="1" t="e">
        <f>AVERAGE(数据36!#REF!,数据72!#REF!,数据144!#REF!)</f>
        <v>#REF!</v>
      </c>
      <c r="M3" s="13" t="e">
        <f>AVERAGE(数据36!#REF!,数据72!#REF!,数据144!#REF!)</f>
        <v>#REF!</v>
      </c>
      <c r="N3" s="1" t="e">
        <f>AVERAGE(数据36!#REF!,数据72!#REF!,数据144!#REF!)</f>
        <v>#REF!</v>
      </c>
      <c r="O3" s="13" t="e">
        <f>AVERAGE(数据36!#REF!,数据72!#REF!,数据144!#REF!)</f>
        <v>#REF!</v>
      </c>
      <c r="P3" s="1" t="e">
        <f>AVERAGE(数据36!#REF!,数据72!#REF!,数据144!#REF!)</f>
        <v>#REF!</v>
      </c>
      <c r="Q3" s="13" t="e">
        <f>AVERAGE(数据36!#REF!,数据72!#REF!,数据144!#REF!)</f>
        <v>#REF!</v>
      </c>
      <c r="R3" s="1" t="e">
        <f>AVERAGE(数据36!#REF!,数据72!#REF!,数据144!#REF!)</f>
        <v>#REF!</v>
      </c>
      <c r="S3" s="13" t="e">
        <f>AVERAGE(数据36!#REF!,数据72!#REF!,数据144!#REF!)</f>
        <v>#REF!</v>
      </c>
      <c r="T3" s="1" t="e">
        <f>AVERAGE(数据36!#REF!,数据72!#REF!,数据144!#REF!)</f>
        <v>#REF!</v>
      </c>
      <c r="U3" s="13" t="e">
        <f>AVERAGE(数据36!#REF!,数据72!#REF!,数据144!#REF!)</f>
        <v>#REF!</v>
      </c>
    </row>
  </sheetData>
  <mergeCells count="3">
    <mergeCell ref="F1:L1"/>
    <mergeCell ref="N1:T1"/>
    <mergeCell ref="D1:D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数据36</vt:lpstr>
      <vt:lpstr>数据72</vt:lpstr>
      <vt:lpstr>数据144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</dc:creator>
  <cp:lastModifiedBy>wuhao99@njust.edu.cn</cp:lastModifiedBy>
  <dcterms:created xsi:type="dcterms:W3CDTF">2023-05-12T11:15:00Z</dcterms:created>
  <dcterms:modified xsi:type="dcterms:W3CDTF">2026-01-07T11:01:24Z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A34F4254ACB741FAB0B3BEF286888949_12</vt:lpwstr>
  </property>
</Properties>
</file>