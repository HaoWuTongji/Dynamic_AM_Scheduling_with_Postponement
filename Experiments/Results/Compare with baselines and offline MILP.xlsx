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科研\研究中\Dynamic-AM-Postpone\FINAL251217\Results\"/>
    </mc:Choice>
  </mc:AlternateContent>
  <xr:revisionPtr revIDLastSave="0" documentId="13_ncr:1_{A2EBD7B3-CA20-4C2D-999F-AA344F78895D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T=36" sheetId="1" r:id="rId1"/>
    <sheet name="T=72" sheetId="2" r:id="rId2"/>
    <sheet name="T=144" sheetId="3" r:id="rId3"/>
    <sheet name="sum 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3" l="1"/>
  <c r="F38" i="3"/>
  <c r="F33" i="3"/>
  <c r="F28" i="3"/>
  <c r="F23" i="3"/>
  <c r="F18" i="3"/>
  <c r="F13" i="3"/>
  <c r="F8" i="3"/>
  <c r="F3" i="3"/>
  <c r="F43" i="2"/>
  <c r="F38" i="2"/>
  <c r="F33" i="2"/>
  <c r="F28" i="2"/>
  <c r="F23" i="2"/>
  <c r="F18" i="2"/>
  <c r="F13" i="2"/>
  <c r="F8" i="2"/>
  <c r="F3" i="2"/>
  <c r="F8" i="1"/>
  <c r="F13" i="1"/>
  <c r="F18" i="1"/>
  <c r="F23" i="1"/>
  <c r="F28" i="1"/>
  <c r="F33" i="1"/>
  <c r="F38" i="1"/>
  <c r="F43" i="1"/>
  <c r="F3" i="1"/>
  <c r="W13" i="3" l="1"/>
  <c r="Y33" i="3"/>
  <c r="AI23" i="2"/>
  <c r="AG23" i="2"/>
  <c r="G49" i="3"/>
  <c r="E49" i="3"/>
  <c r="I3" i="3"/>
  <c r="G49" i="2"/>
  <c r="E49" i="2"/>
  <c r="H44" i="2"/>
  <c r="H45" i="2"/>
  <c r="H46" i="2"/>
  <c r="H47" i="2"/>
  <c r="H9" i="2"/>
  <c r="H10" i="2"/>
  <c r="H11" i="2"/>
  <c r="H12" i="2"/>
  <c r="G49" i="1"/>
  <c r="E49" i="1"/>
  <c r="H4" i="1"/>
  <c r="H5" i="1"/>
  <c r="H6" i="1"/>
  <c r="H7" i="1"/>
  <c r="H4" i="3"/>
  <c r="H5" i="3"/>
  <c r="H6" i="3"/>
  <c r="H7" i="3"/>
  <c r="H9" i="3"/>
  <c r="H10" i="3"/>
  <c r="H11" i="3"/>
  <c r="H12" i="3"/>
  <c r="H14" i="3"/>
  <c r="H15" i="3"/>
  <c r="H16" i="3"/>
  <c r="H17" i="3"/>
  <c r="H19" i="3"/>
  <c r="H20" i="3"/>
  <c r="H21" i="3"/>
  <c r="H22" i="3"/>
  <c r="H24" i="3"/>
  <c r="H25" i="3"/>
  <c r="H26" i="3"/>
  <c r="H27" i="3"/>
  <c r="H29" i="3"/>
  <c r="H30" i="3"/>
  <c r="H31" i="3"/>
  <c r="H32" i="3"/>
  <c r="H34" i="3"/>
  <c r="H35" i="3"/>
  <c r="H36" i="3"/>
  <c r="H37" i="3"/>
  <c r="H39" i="3"/>
  <c r="H40" i="3"/>
  <c r="H41" i="3"/>
  <c r="H42" i="3"/>
  <c r="H44" i="3"/>
  <c r="H45" i="3"/>
  <c r="H46" i="3"/>
  <c r="H47" i="3"/>
  <c r="AK8" i="3"/>
  <c r="AL8" i="3"/>
  <c r="AG8" i="3" s="1"/>
  <c r="AK13" i="3"/>
  <c r="AL13" i="3"/>
  <c r="AK18" i="3"/>
  <c r="AL18" i="3"/>
  <c r="W18" i="3" s="1"/>
  <c r="AK23" i="3"/>
  <c r="AL23" i="3"/>
  <c r="AK28" i="3"/>
  <c r="AL28" i="3"/>
  <c r="AC28" i="3" s="1"/>
  <c r="AK33" i="3"/>
  <c r="AL33" i="3"/>
  <c r="AK38" i="3"/>
  <c r="AL38" i="3"/>
  <c r="AK43" i="3"/>
  <c r="AL43" i="3"/>
  <c r="AL3" i="3"/>
  <c r="AK3" i="3"/>
  <c r="T49" i="2"/>
  <c r="V49" i="2"/>
  <c r="X49" i="2"/>
  <c r="Z49" i="2"/>
  <c r="AB49" i="2"/>
  <c r="AD49" i="2"/>
  <c r="AF49" i="2"/>
  <c r="AH49" i="2"/>
  <c r="H4" i="2"/>
  <c r="H5" i="2"/>
  <c r="H6" i="2"/>
  <c r="H7" i="2"/>
  <c r="H14" i="2"/>
  <c r="H15" i="2"/>
  <c r="H16" i="2"/>
  <c r="H17" i="2"/>
  <c r="H19" i="2"/>
  <c r="H20" i="2"/>
  <c r="H21" i="2"/>
  <c r="H22" i="2"/>
  <c r="H24" i="2"/>
  <c r="H25" i="2"/>
  <c r="H26" i="2"/>
  <c r="H27" i="2"/>
  <c r="H29" i="2"/>
  <c r="H30" i="2"/>
  <c r="H31" i="2"/>
  <c r="H32" i="2"/>
  <c r="H34" i="2"/>
  <c r="H35" i="2"/>
  <c r="H36" i="2"/>
  <c r="H37" i="2"/>
  <c r="H39" i="2"/>
  <c r="H40" i="2"/>
  <c r="H41" i="2"/>
  <c r="H42" i="2"/>
  <c r="AK8" i="2"/>
  <c r="AL8" i="2"/>
  <c r="AK13" i="2"/>
  <c r="AL13" i="2"/>
  <c r="AK18" i="2"/>
  <c r="AL18" i="2"/>
  <c r="AK23" i="2"/>
  <c r="AL23" i="2"/>
  <c r="S23" i="2" s="1"/>
  <c r="AK28" i="2"/>
  <c r="AL28" i="2"/>
  <c r="AK33" i="2"/>
  <c r="AL33" i="2"/>
  <c r="AC33" i="2" s="1"/>
  <c r="AK38" i="2"/>
  <c r="AL38" i="2"/>
  <c r="AK43" i="2"/>
  <c r="AL43" i="2"/>
  <c r="AL3" i="2"/>
  <c r="AK3" i="2"/>
  <c r="V49" i="1"/>
  <c r="X49" i="1"/>
  <c r="Z49" i="1"/>
  <c r="AB49" i="1"/>
  <c r="AD49" i="1"/>
  <c r="AF49" i="1"/>
  <c r="AH49" i="1"/>
  <c r="H9" i="1"/>
  <c r="H10" i="1"/>
  <c r="H11" i="1"/>
  <c r="H12" i="1"/>
  <c r="H14" i="1"/>
  <c r="H15" i="1"/>
  <c r="H16" i="1"/>
  <c r="H17" i="1"/>
  <c r="H19" i="1"/>
  <c r="H20" i="1"/>
  <c r="H21" i="1"/>
  <c r="H22" i="1"/>
  <c r="H24" i="1"/>
  <c r="H25" i="1"/>
  <c r="H26" i="1"/>
  <c r="H27" i="1"/>
  <c r="H29" i="1"/>
  <c r="H30" i="1"/>
  <c r="H31" i="1"/>
  <c r="H32" i="1"/>
  <c r="H34" i="1"/>
  <c r="H35" i="1"/>
  <c r="H36" i="1"/>
  <c r="H37" i="1"/>
  <c r="H39" i="1"/>
  <c r="H40" i="1"/>
  <c r="H41" i="1"/>
  <c r="H42" i="1"/>
  <c r="H44" i="1"/>
  <c r="H45" i="1"/>
  <c r="H46" i="1"/>
  <c r="H47" i="1"/>
  <c r="AL8" i="1"/>
  <c r="AL13" i="1"/>
  <c r="AL18" i="1"/>
  <c r="AL23" i="1"/>
  <c r="AL28" i="1"/>
  <c r="AE28" i="1" s="1"/>
  <c r="AL33" i="1"/>
  <c r="AL38" i="1"/>
  <c r="AL43" i="1"/>
  <c r="AL3" i="1"/>
  <c r="AK8" i="1"/>
  <c r="AI8" i="1" s="1"/>
  <c r="AK13" i="1"/>
  <c r="AK18" i="1"/>
  <c r="AK23" i="1"/>
  <c r="AK28" i="1"/>
  <c r="AK33" i="1"/>
  <c r="AK38" i="1"/>
  <c r="AK43" i="1"/>
  <c r="AK3" i="1"/>
  <c r="AH49" i="3"/>
  <c r="AF49" i="3"/>
  <c r="AD49" i="3"/>
  <c r="AB49" i="3"/>
  <c r="Z49" i="3"/>
  <c r="X49" i="3"/>
  <c r="V49" i="3"/>
  <c r="T49" i="3"/>
  <c r="R49" i="3"/>
  <c r="L43" i="3"/>
  <c r="K43" i="3"/>
  <c r="I43" i="3"/>
  <c r="L38" i="3"/>
  <c r="K38" i="3"/>
  <c r="I38" i="3"/>
  <c r="L33" i="3"/>
  <c r="K33" i="3"/>
  <c r="I33" i="3"/>
  <c r="L28" i="3"/>
  <c r="K28" i="3"/>
  <c r="I28" i="3"/>
  <c r="L23" i="3"/>
  <c r="K23" i="3"/>
  <c r="I23" i="3"/>
  <c r="L18" i="3"/>
  <c r="K18" i="3"/>
  <c r="I18" i="3"/>
  <c r="L13" i="3"/>
  <c r="K13" i="3"/>
  <c r="I13" i="3"/>
  <c r="L8" i="3"/>
  <c r="K8" i="3"/>
  <c r="I8" i="3"/>
  <c r="L3" i="3"/>
  <c r="K3" i="3"/>
  <c r="R49" i="2"/>
  <c r="L43" i="2"/>
  <c r="K43" i="2"/>
  <c r="I43" i="2"/>
  <c r="P43" i="2" s="1"/>
  <c r="L38" i="2"/>
  <c r="K38" i="2"/>
  <c r="I38" i="2"/>
  <c r="L33" i="2"/>
  <c r="K33" i="2"/>
  <c r="I33" i="2"/>
  <c r="P33" i="2" s="1"/>
  <c r="L28" i="2"/>
  <c r="K28" i="2"/>
  <c r="I28" i="2"/>
  <c r="P28" i="2" s="1"/>
  <c r="L23" i="2"/>
  <c r="K23" i="2"/>
  <c r="I23" i="2"/>
  <c r="L18" i="2"/>
  <c r="K18" i="2"/>
  <c r="I18" i="2"/>
  <c r="L13" i="2"/>
  <c r="K13" i="2"/>
  <c r="I13" i="2"/>
  <c r="P13" i="2" s="1"/>
  <c r="L8" i="2"/>
  <c r="K8" i="2"/>
  <c r="I8" i="2"/>
  <c r="P8" i="2" s="1"/>
  <c r="L3" i="2"/>
  <c r="K3" i="2"/>
  <c r="I3" i="2"/>
  <c r="T49" i="1"/>
  <c r="R49" i="1"/>
  <c r="L43" i="1"/>
  <c r="K43" i="1"/>
  <c r="I43" i="1"/>
  <c r="P43" i="1" s="1"/>
  <c r="L38" i="1"/>
  <c r="K38" i="1"/>
  <c r="I38" i="1"/>
  <c r="P38" i="1" s="1"/>
  <c r="L33" i="1"/>
  <c r="K33" i="1"/>
  <c r="I33" i="1"/>
  <c r="P33" i="1" s="1"/>
  <c r="L28" i="1"/>
  <c r="K28" i="1"/>
  <c r="I28" i="1"/>
  <c r="P28" i="1" s="1"/>
  <c r="L23" i="1"/>
  <c r="K23" i="1"/>
  <c r="I23" i="1"/>
  <c r="P23" i="1" s="1"/>
  <c r="L18" i="1"/>
  <c r="K18" i="1"/>
  <c r="I18" i="1"/>
  <c r="P18" i="1" s="1"/>
  <c r="L13" i="1"/>
  <c r="K13" i="1"/>
  <c r="I13" i="1"/>
  <c r="P13" i="1" s="1"/>
  <c r="L8" i="1"/>
  <c r="K8" i="1"/>
  <c r="I8" i="1"/>
  <c r="P8" i="1" s="1"/>
  <c r="L3" i="1"/>
  <c r="K3" i="1"/>
  <c r="I3" i="1"/>
  <c r="P3" i="1" s="1"/>
  <c r="W33" i="3" l="1"/>
  <c r="U13" i="3"/>
  <c r="AE23" i="2"/>
  <c r="AE33" i="2"/>
  <c r="AG33" i="2"/>
  <c r="U8" i="1"/>
  <c r="W3" i="4"/>
  <c r="U28" i="1"/>
  <c r="AG8" i="1"/>
  <c r="AA33" i="3"/>
  <c r="Y13" i="3"/>
  <c r="AE38" i="3"/>
  <c r="AC33" i="3"/>
  <c r="AA13" i="3"/>
  <c r="AE33" i="3"/>
  <c r="AC13" i="3"/>
  <c r="AG33" i="3"/>
  <c r="AE13" i="3"/>
  <c r="S33" i="3"/>
  <c r="AI33" i="3"/>
  <c r="AG13" i="3"/>
  <c r="U33" i="3"/>
  <c r="S13" i="3"/>
  <c r="AI13" i="3"/>
  <c r="AG43" i="3"/>
  <c r="AC23" i="3"/>
  <c r="U23" i="2"/>
  <c r="S33" i="2"/>
  <c r="AI33" i="2"/>
  <c r="W23" i="2"/>
  <c r="U33" i="2"/>
  <c r="P50" i="2"/>
  <c r="H38" i="2"/>
  <c r="Y23" i="2"/>
  <c r="W33" i="2"/>
  <c r="AA23" i="2"/>
  <c r="Y33" i="2"/>
  <c r="P23" i="2"/>
  <c r="AC23" i="2"/>
  <c r="AA33" i="2"/>
  <c r="Y8" i="1"/>
  <c r="W28" i="1"/>
  <c r="AA8" i="1"/>
  <c r="Y28" i="1"/>
  <c r="AC8" i="1"/>
  <c r="AA28" i="1"/>
  <c r="W8" i="1"/>
  <c r="AE8" i="1"/>
  <c r="AC28" i="1"/>
  <c r="AG28" i="1"/>
  <c r="S8" i="1"/>
  <c r="S28" i="1"/>
  <c r="AI28" i="1"/>
  <c r="U43" i="2"/>
  <c r="P3" i="4"/>
  <c r="H18" i="3"/>
  <c r="J18" i="3" s="1"/>
  <c r="AI38" i="3"/>
  <c r="H33" i="3"/>
  <c r="J33" i="3" s="1"/>
  <c r="AC18" i="3"/>
  <c r="S38" i="3"/>
  <c r="U18" i="3"/>
  <c r="H8" i="3"/>
  <c r="J8" i="3" s="1"/>
  <c r="AE18" i="3"/>
  <c r="H3" i="3"/>
  <c r="J3" i="3" s="1"/>
  <c r="AG38" i="3"/>
  <c r="Y38" i="3"/>
  <c r="AE28" i="3"/>
  <c r="AC38" i="3"/>
  <c r="AI18" i="3"/>
  <c r="AI8" i="3"/>
  <c r="AA38" i="3"/>
  <c r="W28" i="3"/>
  <c r="AI3" i="3"/>
  <c r="S43" i="3"/>
  <c r="AI43" i="3"/>
  <c r="H23" i="3"/>
  <c r="J23" i="3" s="1"/>
  <c r="U3" i="3"/>
  <c r="U8" i="3"/>
  <c r="Y28" i="3"/>
  <c r="AC3" i="3"/>
  <c r="AC8" i="3"/>
  <c r="AG28" i="3"/>
  <c r="H38" i="3"/>
  <c r="J38" i="3" s="1"/>
  <c r="U43" i="3"/>
  <c r="Y23" i="3"/>
  <c r="AC43" i="3"/>
  <c r="AG23" i="3"/>
  <c r="AA3" i="3"/>
  <c r="AE23" i="3"/>
  <c r="H13" i="3"/>
  <c r="J13" i="3" s="1"/>
  <c r="S28" i="3"/>
  <c r="U38" i="3"/>
  <c r="W3" i="3"/>
  <c r="W8" i="3"/>
  <c r="Y18" i="3"/>
  <c r="AA28" i="3"/>
  <c r="AE3" i="3"/>
  <c r="AE8" i="3"/>
  <c r="AG18" i="3"/>
  <c r="AI28" i="3"/>
  <c r="H28" i="3"/>
  <c r="J28" i="3" s="1"/>
  <c r="S23" i="3"/>
  <c r="W43" i="3"/>
  <c r="AA23" i="3"/>
  <c r="AE43" i="3"/>
  <c r="AI23" i="3"/>
  <c r="S8" i="3"/>
  <c r="H43" i="3"/>
  <c r="J43" i="3" s="1"/>
  <c r="S18" i="3"/>
  <c r="U28" i="3"/>
  <c r="W38" i="3"/>
  <c r="Y3" i="3"/>
  <c r="Y8" i="3"/>
  <c r="AA18" i="3"/>
  <c r="AG3" i="3"/>
  <c r="S3" i="3"/>
  <c r="AA8" i="3"/>
  <c r="W23" i="3"/>
  <c r="AA43" i="3"/>
  <c r="U23" i="3"/>
  <c r="Y43" i="3"/>
  <c r="H43" i="2"/>
  <c r="J43" i="2" s="1"/>
  <c r="AC3" i="2"/>
  <c r="AI18" i="2"/>
  <c r="H8" i="2"/>
  <c r="AG8" i="2"/>
  <c r="W43" i="2"/>
  <c r="W38" i="2"/>
  <c r="AG38" i="2"/>
  <c r="U38" i="2"/>
  <c r="AA43" i="2"/>
  <c r="AE8" i="2"/>
  <c r="W3" i="2"/>
  <c r="H28" i="2"/>
  <c r="J28" i="2" s="1"/>
  <c r="J8" i="2"/>
  <c r="S3" i="2"/>
  <c r="U8" i="2"/>
  <c r="AA38" i="2"/>
  <c r="AG43" i="2"/>
  <c r="H18" i="2"/>
  <c r="J18" i="2" s="1"/>
  <c r="S43" i="2"/>
  <c r="W8" i="2"/>
  <c r="AC38" i="2"/>
  <c r="AI43" i="2"/>
  <c r="AA8" i="2"/>
  <c r="J38" i="2"/>
  <c r="S38" i="2"/>
  <c r="Y43" i="2"/>
  <c r="AC8" i="2"/>
  <c r="AI38" i="2"/>
  <c r="AI3" i="2"/>
  <c r="S8" i="2"/>
  <c r="Y38" i="2"/>
  <c r="AE43" i="2"/>
  <c r="AI8" i="2"/>
  <c r="U3" i="2"/>
  <c r="AC43" i="2"/>
  <c r="AI13" i="2"/>
  <c r="Y8" i="2"/>
  <c r="AE38" i="2"/>
  <c r="H23" i="2"/>
  <c r="J23" i="2" s="1"/>
  <c r="AA3" i="2"/>
  <c r="S28" i="2"/>
  <c r="U28" i="2"/>
  <c r="W28" i="2"/>
  <c r="Y28" i="2"/>
  <c r="AA28" i="2"/>
  <c r="AC28" i="2"/>
  <c r="AE28" i="2"/>
  <c r="AG28" i="2"/>
  <c r="AI28" i="2"/>
  <c r="H33" i="2"/>
  <c r="J33" i="2" s="1"/>
  <c r="H3" i="2"/>
  <c r="J3" i="2" s="1"/>
  <c r="H13" i="2"/>
  <c r="J13" i="2" s="1"/>
  <c r="AE3" i="2"/>
  <c r="S18" i="2"/>
  <c r="U18" i="2"/>
  <c r="W18" i="2"/>
  <c r="Y18" i="2"/>
  <c r="AA18" i="2"/>
  <c r="AC18" i="2"/>
  <c r="AE18" i="2"/>
  <c r="AG18" i="2"/>
  <c r="T3" i="4"/>
  <c r="Y3" i="2"/>
  <c r="L3" i="4"/>
  <c r="AG3" i="2"/>
  <c r="S13" i="2"/>
  <c r="U13" i="2"/>
  <c r="W13" i="2"/>
  <c r="Y13" i="2"/>
  <c r="AA13" i="2"/>
  <c r="AC13" i="2"/>
  <c r="AE13" i="2"/>
  <c r="AG13" i="2"/>
  <c r="H13" i="1"/>
  <c r="J13" i="1" s="1"/>
  <c r="H18" i="1"/>
  <c r="J18" i="1" s="1"/>
  <c r="P50" i="1"/>
  <c r="AG43" i="1"/>
  <c r="W33" i="1"/>
  <c r="H3" i="1"/>
  <c r="J3" i="1" s="1"/>
  <c r="W23" i="1"/>
  <c r="AI13" i="1"/>
  <c r="H3" i="4"/>
  <c r="AC43" i="1"/>
  <c r="AE3" i="1"/>
  <c r="AC33" i="1"/>
  <c r="AE38" i="1"/>
  <c r="AG3" i="1"/>
  <c r="Y13" i="1"/>
  <c r="AA13" i="1"/>
  <c r="AC13" i="1"/>
  <c r="H33" i="1"/>
  <c r="J33" i="1" s="1"/>
  <c r="AE33" i="1"/>
  <c r="AI43" i="1"/>
  <c r="S18" i="1"/>
  <c r="U18" i="1"/>
  <c r="W18" i="1"/>
  <c r="S3" i="1"/>
  <c r="AI3" i="1"/>
  <c r="H8" i="1"/>
  <c r="J8" i="1" s="1"/>
  <c r="AG38" i="1"/>
  <c r="AI38" i="1"/>
  <c r="S13" i="1"/>
  <c r="U13" i="1"/>
  <c r="W13" i="1"/>
  <c r="AE23" i="1"/>
  <c r="AG33" i="1"/>
  <c r="AI33" i="1"/>
  <c r="U3" i="1"/>
  <c r="Y43" i="1"/>
  <c r="AA43" i="1"/>
  <c r="H23" i="1"/>
  <c r="J23" i="1" s="1"/>
  <c r="W3" i="1"/>
  <c r="Y38" i="1"/>
  <c r="AA38" i="1"/>
  <c r="AC38" i="1"/>
  <c r="H38" i="1"/>
  <c r="J38" i="1" s="1"/>
  <c r="AE18" i="1"/>
  <c r="S43" i="1"/>
  <c r="U43" i="1"/>
  <c r="W43" i="1"/>
  <c r="Y3" i="1"/>
  <c r="Y33" i="1"/>
  <c r="AA33" i="1"/>
  <c r="AE13" i="1"/>
  <c r="AG23" i="1"/>
  <c r="AI23" i="1"/>
  <c r="S38" i="1"/>
  <c r="U38" i="1"/>
  <c r="W38" i="1"/>
  <c r="AA3" i="1"/>
  <c r="H28" i="1"/>
  <c r="J28" i="1" s="1"/>
  <c r="AG18" i="1"/>
  <c r="AI18" i="1"/>
  <c r="S33" i="1"/>
  <c r="U33" i="1"/>
  <c r="AC3" i="1"/>
  <c r="Y23" i="1"/>
  <c r="AA23" i="1"/>
  <c r="AC23" i="1"/>
  <c r="H43" i="1"/>
  <c r="J43" i="1" s="1"/>
  <c r="AE43" i="1"/>
  <c r="AG13" i="1"/>
  <c r="Y18" i="1"/>
  <c r="AA18" i="1"/>
  <c r="AC18" i="1"/>
  <c r="S23" i="1"/>
  <c r="U23" i="1"/>
  <c r="I49" i="3"/>
  <c r="R3" i="4"/>
  <c r="J3" i="4"/>
  <c r="I49" i="2"/>
  <c r="F3" i="4"/>
  <c r="P3" i="2"/>
  <c r="P49" i="2" s="1"/>
  <c r="D3" i="4"/>
  <c r="N3" i="4"/>
  <c r="P49" i="1"/>
  <c r="I49" i="1"/>
  <c r="J49" i="3" l="1"/>
  <c r="AE49" i="3"/>
  <c r="S49" i="3"/>
  <c r="U49" i="3"/>
  <c r="AG49" i="3"/>
  <c r="Y49" i="3"/>
  <c r="AI49" i="3"/>
  <c r="W49" i="3"/>
  <c r="AC49" i="3"/>
  <c r="AA49" i="3"/>
  <c r="U49" i="2"/>
  <c r="W49" i="2"/>
  <c r="S49" i="2"/>
  <c r="AC49" i="2"/>
  <c r="AI49" i="2"/>
  <c r="AG49" i="2"/>
  <c r="Y49" i="2"/>
  <c r="AE49" i="2"/>
  <c r="AA49" i="2"/>
  <c r="J49" i="2"/>
  <c r="AE49" i="1"/>
  <c r="AA49" i="1"/>
  <c r="Y49" i="1"/>
  <c r="AC49" i="1"/>
  <c r="AI49" i="1"/>
  <c r="U49" i="1"/>
  <c r="W49" i="1"/>
  <c r="S49" i="1"/>
  <c r="J49" i="1"/>
  <c r="AG49" i="1"/>
  <c r="B3" i="4"/>
  <c r="O3" i="4" l="1"/>
  <c r="G3" i="4"/>
  <c r="E3" i="4"/>
  <c r="U3" i="4"/>
  <c r="S3" i="4"/>
  <c r="C3" i="4"/>
  <c r="Q3" i="4"/>
  <c r="I3" i="4"/>
  <c r="K3" i="4"/>
  <c r="M3" i="4"/>
</calcChain>
</file>

<file path=xl/sharedStrings.xml><?xml version="1.0" encoding="utf-8"?>
<sst xmlns="http://schemas.openxmlformats.org/spreadsheetml/2006/main" count="105" uniqueCount="29">
  <si>
    <t>OUR APPROACH</t>
  </si>
  <si>
    <t>MILP</t>
  </si>
  <si>
    <t>MIPGap</t>
  </si>
  <si>
    <t>t</t>
  </si>
  <si>
    <t>while_available</t>
  </si>
  <si>
    <t>full_capacity</t>
  </si>
  <si>
    <t>AVG</t>
  </si>
  <si>
    <t>MAX</t>
  </si>
  <si>
    <t>MIN</t>
  </si>
  <si>
    <t>Uniform</t>
  </si>
  <si>
    <t>Small-dominant</t>
  </si>
  <si>
    <t>Large-dominant</t>
  </si>
  <si>
    <t>MAX</t>
    <phoneticPr fontId="6" type="noConversion"/>
  </si>
  <si>
    <t>MIN</t>
    <phoneticPr fontId="6" type="noConversion"/>
  </si>
  <si>
    <t>AVG RDI</t>
    <phoneticPr fontId="6" type="noConversion"/>
  </si>
  <si>
    <t>val.</t>
    <phoneticPr fontId="6" type="noConversion"/>
  </si>
  <si>
    <t>RDI</t>
    <phoneticPr fontId="6" type="noConversion"/>
  </si>
  <si>
    <t>waiting buffer</t>
    <phoneticPr fontId="6" type="noConversion"/>
  </si>
  <si>
    <t>mcts_time</t>
  </si>
  <si>
    <t>sim_time</t>
    <phoneticPr fontId="6" type="noConversion"/>
  </si>
  <si>
    <t>ECR</t>
    <phoneticPr fontId="6" type="noConversion"/>
  </si>
  <si>
    <t>#1</t>
    <phoneticPr fontId="6" type="noConversion"/>
  </si>
  <si>
    <t>#2</t>
  </si>
  <si>
    <t>#3</t>
  </si>
  <si>
    <t>Ins. ID</t>
    <phoneticPr fontId="6" type="noConversion"/>
  </si>
  <si>
    <t>Arrival</t>
    <phoneticPr fontId="6" type="noConversion"/>
  </si>
  <si>
    <t>T</t>
    <phoneticPr fontId="6" type="noConversion"/>
  </si>
  <si>
    <t>PWB</t>
    <phoneticPr fontId="6" type="noConversion"/>
  </si>
  <si>
    <t>Ours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</si>
</sst>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5117038483843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6" xfId="0" applyNumberFormat="1" applyBorder="1">
      <alignment vertical="center"/>
    </xf>
    <xf numFmtId="176" fontId="1" fillId="0" borderId="0" xfId="0" applyNumberFormat="1" applyFont="1">
      <alignment vertical="center"/>
    </xf>
    <xf numFmtId="176" fontId="0" fillId="0" borderId="3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4" borderId="12" xfId="0" applyNumberFormat="1" applyFill="1" applyBorder="1">
      <alignment vertical="center"/>
    </xf>
    <xf numFmtId="176" fontId="0" fillId="5" borderId="11" xfId="0" applyNumberFormat="1" applyFill="1" applyBorder="1">
      <alignment vertical="center"/>
    </xf>
    <xf numFmtId="176" fontId="0" fillId="5" borderId="12" xfId="0" applyNumberFormat="1" applyFill="1" applyBorder="1">
      <alignment vertical="center"/>
    </xf>
    <xf numFmtId="0" fontId="0" fillId="0" borderId="3" xfId="0" applyBorder="1">
      <alignment vertical="center"/>
    </xf>
    <xf numFmtId="0" fontId="0" fillId="0" borderId="12" xfId="0" applyBorder="1">
      <alignment vertical="center"/>
    </xf>
    <xf numFmtId="176" fontId="0" fillId="0" borderId="2" xfId="0" applyNumberFormat="1" applyBorder="1">
      <alignment vertical="center"/>
    </xf>
    <xf numFmtId="176" fontId="0" fillId="4" borderId="3" xfId="0" applyNumberFormat="1" applyFill="1" applyBorder="1">
      <alignment vertical="center"/>
    </xf>
    <xf numFmtId="176" fontId="0" fillId="7" borderId="3" xfId="0" applyNumberFormat="1" applyFill="1" applyBorder="1">
      <alignment vertical="center"/>
    </xf>
    <xf numFmtId="176" fontId="0" fillId="5" borderId="3" xfId="0" applyNumberForma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12" borderId="2" xfId="0" applyNumberFormat="1" applyFill="1" applyBorder="1" applyAlignment="1">
      <alignment horizontal="center" vertical="center"/>
    </xf>
    <xf numFmtId="176" fontId="0" fillId="12" borderId="6" xfId="0" applyNumberFormat="1" applyFill="1" applyBorder="1" applyAlignment="1">
      <alignment horizontal="center" vertical="center"/>
    </xf>
    <xf numFmtId="176" fontId="0" fillId="8" borderId="3" xfId="0" applyNumberFormat="1" applyFill="1" applyBorder="1" applyAlignment="1">
      <alignment horizontal="center" vertical="center"/>
    </xf>
    <xf numFmtId="176" fontId="0" fillId="8" borderId="0" xfId="0" applyNumberFormat="1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176" fontId="0" fillId="10" borderId="3" xfId="0" applyNumberFormat="1" applyFill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0" fillId="3" borderId="12" xfId="0" applyNumberFormat="1" applyFill="1" applyBorder="1" applyAlignment="1">
      <alignment horizontal="center" vertical="center"/>
    </xf>
    <xf numFmtId="176" fontId="0" fillId="10" borderId="0" xfId="0" applyNumberFormat="1" applyFill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0" fontId="0" fillId="0" borderId="0" xfId="0" applyNumberFormat="1">
      <alignment vertical="center"/>
    </xf>
    <xf numFmtId="10" fontId="0" fillId="3" borderId="0" xfId="0" applyNumberForma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1" fillId="15" borderId="2" xfId="0" applyNumberFormat="1" applyFont="1" applyFill="1" applyBorder="1" applyAlignment="1">
      <alignment horizontal="center" vertical="center"/>
    </xf>
    <xf numFmtId="176" fontId="7" fillId="15" borderId="8" xfId="0" applyNumberFormat="1" applyFont="1" applyFill="1" applyBorder="1" applyAlignment="1">
      <alignment horizontal="center" vertical="center"/>
    </xf>
    <xf numFmtId="10" fontId="7" fillId="15" borderId="9" xfId="0" applyNumberFormat="1" applyFont="1" applyFill="1" applyBorder="1" applyAlignment="1">
      <alignment horizontal="center" vertical="center"/>
    </xf>
    <xf numFmtId="176" fontId="1" fillId="15" borderId="8" xfId="0" applyNumberFormat="1" applyFont="1" applyFill="1" applyBorder="1" applyAlignment="1">
      <alignment horizontal="center" vertical="center"/>
    </xf>
    <xf numFmtId="10" fontId="7" fillId="15" borderId="10" xfId="0" applyNumberFormat="1" applyFont="1" applyFill="1" applyBorder="1" applyAlignment="1">
      <alignment horizontal="center" vertical="center"/>
    </xf>
    <xf numFmtId="176" fontId="1" fillId="15" borderId="9" xfId="0" applyNumberFormat="1" applyFont="1" applyFill="1" applyBorder="1" applyAlignment="1">
      <alignment horizontal="center" vertical="center"/>
    </xf>
    <xf numFmtId="176" fontId="1" fillId="15" borderId="10" xfId="0" applyNumberFormat="1" applyFont="1" applyFill="1" applyBorder="1" applyAlignment="1">
      <alignment horizontal="center" vertical="center"/>
    </xf>
    <xf numFmtId="10" fontId="0" fillId="3" borderId="3" xfId="0" applyNumberFormat="1" applyFill="1" applyBorder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10" fontId="0" fillId="3" borderId="7" xfId="0" applyNumberFormat="1" applyFill="1" applyBorder="1" applyAlignment="1">
      <alignment horizontal="center" vertical="center"/>
    </xf>
    <xf numFmtId="176" fontId="0" fillId="12" borderId="11" xfId="0" applyNumberFormat="1" applyFill="1" applyBorder="1" applyAlignment="1">
      <alignment horizontal="center" vertical="center"/>
    </xf>
    <xf numFmtId="176" fontId="0" fillId="8" borderId="12" xfId="0" applyNumberFormat="1" applyFill="1" applyBorder="1" applyAlignment="1">
      <alignment horizontal="center" vertical="center"/>
    </xf>
    <xf numFmtId="10" fontId="0" fillId="3" borderId="12" xfId="0" applyNumberFormat="1" applyFill="1" applyBorder="1" applyAlignment="1">
      <alignment horizontal="center" vertical="center"/>
    </xf>
    <xf numFmtId="10" fontId="0" fillId="3" borderId="13" xfId="0" applyNumberFormat="1" applyFill="1" applyBorder="1" applyAlignment="1">
      <alignment horizontal="center" vertical="center"/>
    </xf>
    <xf numFmtId="176" fontId="5" fillId="10" borderId="3" xfId="0" applyNumberFormat="1" applyFont="1" applyFill="1" applyBorder="1" applyAlignment="1">
      <alignment horizontal="center" vertical="center"/>
    </xf>
    <xf numFmtId="176" fontId="0" fillId="8" borderId="2" xfId="0" applyNumberFormat="1" applyFill="1" applyBorder="1" applyAlignment="1">
      <alignment horizontal="center" vertical="center"/>
    </xf>
    <xf numFmtId="10" fontId="0" fillId="8" borderId="4" xfId="0" applyNumberFormat="1" applyFill="1" applyBorder="1" applyAlignment="1">
      <alignment horizontal="center" vertical="center"/>
    </xf>
    <xf numFmtId="176" fontId="0" fillId="8" borderId="6" xfId="0" applyNumberFormat="1" applyFill="1" applyBorder="1" applyAlignment="1">
      <alignment horizontal="center" vertical="center"/>
    </xf>
    <xf numFmtId="10" fontId="0" fillId="8" borderId="7" xfId="0" applyNumberFormat="1" applyFill="1" applyBorder="1" applyAlignment="1">
      <alignment horizontal="center" vertical="center"/>
    </xf>
    <xf numFmtId="176" fontId="0" fillId="8" borderId="11" xfId="0" applyNumberFormat="1" applyFill="1" applyBorder="1" applyAlignment="1">
      <alignment horizontal="center" vertical="center"/>
    </xf>
    <xf numFmtId="10" fontId="0" fillId="8" borderId="13" xfId="0" applyNumberFormat="1" applyFill="1" applyBorder="1" applyAlignment="1">
      <alignment horizontal="center" vertical="center"/>
    </xf>
    <xf numFmtId="176" fontId="0" fillId="9" borderId="6" xfId="0" applyNumberFormat="1" applyFill="1" applyBorder="1" applyAlignment="1">
      <alignment horizontal="center" vertical="center"/>
    </xf>
    <xf numFmtId="176" fontId="0" fillId="9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176" fontId="0" fillId="3" borderId="11" xfId="0" applyNumberFormat="1" applyFill="1" applyBorder="1" applyAlignment="1">
      <alignment horizontal="center" vertical="center"/>
    </xf>
    <xf numFmtId="176" fontId="5" fillId="10" borderId="2" xfId="0" applyNumberFormat="1" applyFont="1" applyFill="1" applyBorder="1" applyAlignment="1">
      <alignment horizontal="center" vertical="center"/>
    </xf>
    <xf numFmtId="176" fontId="0" fillId="10" borderId="6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7" fillId="15" borderId="2" xfId="0" applyNumberFormat="1" applyFont="1" applyFill="1" applyBorder="1" applyAlignment="1">
      <alignment horizontal="center" vertical="center"/>
    </xf>
    <xf numFmtId="10" fontId="7" fillId="15" borderId="3" xfId="0" applyNumberFormat="1" applyFont="1" applyFill="1" applyBorder="1" applyAlignment="1">
      <alignment horizontal="center" vertical="center"/>
    </xf>
    <xf numFmtId="176" fontId="1" fillId="15" borderId="3" xfId="0" applyNumberFormat="1" applyFont="1" applyFill="1" applyBorder="1" applyAlignment="1">
      <alignment horizontal="center" vertical="center"/>
    </xf>
    <xf numFmtId="176" fontId="1" fillId="15" borderId="4" xfId="0" applyNumberFormat="1" applyFon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10" borderId="2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7" fillId="15" borderId="9" xfId="0" applyNumberFormat="1" applyFont="1" applyFill="1" applyBorder="1" applyAlignment="1">
      <alignment horizontal="center" vertical="center"/>
    </xf>
    <xf numFmtId="176" fontId="3" fillId="11" borderId="2" xfId="0" applyNumberFormat="1" applyFont="1" applyFill="1" applyBorder="1" applyAlignment="1">
      <alignment horizontal="center" vertical="center"/>
    </xf>
    <xf numFmtId="176" fontId="3" fillId="11" borderId="3" xfId="0" applyNumberFormat="1" applyFont="1" applyFill="1" applyBorder="1" applyAlignment="1">
      <alignment horizontal="center" vertical="center"/>
    </xf>
    <xf numFmtId="10" fontId="3" fillId="11" borderId="3" xfId="0" applyNumberFormat="1" applyFont="1" applyFill="1" applyBorder="1" applyAlignment="1">
      <alignment horizontal="center" vertical="center"/>
    </xf>
    <xf numFmtId="176" fontId="3" fillId="11" borderId="6" xfId="0" applyNumberFormat="1" applyFont="1" applyFill="1" applyBorder="1" applyAlignment="1">
      <alignment horizontal="center" vertical="center"/>
    </xf>
    <xf numFmtId="176" fontId="3" fillId="11" borderId="0" xfId="0" applyNumberFormat="1" applyFont="1" applyFill="1" applyAlignment="1">
      <alignment horizontal="center" vertical="center"/>
    </xf>
    <xf numFmtId="10" fontId="3" fillId="11" borderId="0" xfId="0" applyNumberFormat="1" applyFont="1" applyFill="1" applyAlignment="1">
      <alignment horizontal="center" vertical="center"/>
    </xf>
    <xf numFmtId="176" fontId="3" fillId="11" borderId="11" xfId="0" applyNumberFormat="1" applyFont="1" applyFill="1" applyBorder="1" applyAlignment="1">
      <alignment horizontal="center" vertical="center"/>
    </xf>
    <xf numFmtId="176" fontId="3" fillId="11" borderId="12" xfId="0" applyNumberFormat="1" applyFont="1" applyFill="1" applyBorder="1" applyAlignment="1">
      <alignment horizontal="center" vertical="center"/>
    </xf>
    <xf numFmtId="10" fontId="3" fillId="11" borderId="12" xfId="0" applyNumberFormat="1" applyFont="1" applyFill="1" applyBorder="1" applyAlignment="1">
      <alignment horizontal="center" vertical="center"/>
    </xf>
    <xf numFmtId="176" fontId="1" fillId="10" borderId="0" xfId="0" applyNumberFormat="1" applyFont="1" applyFill="1" applyAlignment="1">
      <alignment horizontal="center" vertical="center"/>
    </xf>
    <xf numFmtId="176" fontId="7" fillId="15" borderId="3" xfId="0" applyNumberFormat="1" applyFont="1" applyFill="1" applyBorder="1" applyAlignment="1">
      <alignment horizontal="center" vertical="center"/>
    </xf>
    <xf numFmtId="176" fontId="1" fillId="9" borderId="6" xfId="0" applyNumberFormat="1" applyFont="1" applyFill="1" applyBorder="1" applyAlignment="1">
      <alignment horizontal="center" vertical="center"/>
    </xf>
    <xf numFmtId="177" fontId="3" fillId="11" borderId="3" xfId="0" applyNumberFormat="1" applyFont="1" applyFill="1" applyBorder="1" applyAlignment="1">
      <alignment horizontal="center" vertical="center"/>
    </xf>
    <xf numFmtId="10" fontId="3" fillId="11" borderId="3" xfId="1" applyNumberFormat="1" applyFont="1" applyFill="1" applyBorder="1" applyAlignment="1">
      <alignment horizontal="center" vertical="center"/>
    </xf>
    <xf numFmtId="177" fontId="3" fillId="11" borderId="0" xfId="0" applyNumberFormat="1" applyFont="1" applyFill="1" applyAlignment="1">
      <alignment horizontal="center" vertical="center"/>
    </xf>
    <xf numFmtId="10" fontId="3" fillId="11" borderId="0" xfId="1" applyNumberFormat="1" applyFont="1" applyFill="1" applyAlignment="1">
      <alignment horizontal="center" vertical="center"/>
    </xf>
    <xf numFmtId="177" fontId="3" fillId="11" borderId="12" xfId="0" applyNumberFormat="1" applyFont="1" applyFill="1" applyBorder="1" applyAlignment="1">
      <alignment horizontal="center" vertical="center"/>
    </xf>
    <xf numFmtId="10" fontId="3" fillId="11" borderId="12" xfId="1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176" fontId="0" fillId="11" borderId="2" xfId="0" applyNumberFormat="1" applyFill="1" applyBorder="1">
      <alignment vertical="center"/>
    </xf>
    <xf numFmtId="176" fontId="0" fillId="11" borderId="3" xfId="0" applyNumberFormat="1" applyFill="1" applyBorder="1">
      <alignment vertical="center"/>
    </xf>
    <xf numFmtId="176" fontId="0" fillId="11" borderId="6" xfId="0" applyNumberFormat="1" applyFill="1" applyBorder="1">
      <alignment vertical="center"/>
    </xf>
    <xf numFmtId="176" fontId="0" fillId="11" borderId="0" xfId="0" applyNumberFormat="1" applyFill="1">
      <alignment vertical="center"/>
    </xf>
    <xf numFmtId="176" fontId="3" fillId="11" borderId="6" xfId="0" applyNumberFormat="1" applyFont="1" applyFill="1" applyBorder="1">
      <alignment vertical="center"/>
    </xf>
    <xf numFmtId="176" fontId="0" fillId="11" borderId="11" xfId="0" applyNumberFormat="1" applyFill="1" applyBorder="1">
      <alignment vertical="center"/>
    </xf>
    <xf numFmtId="176" fontId="0" fillId="11" borderId="12" xfId="0" applyNumberFormat="1" applyFill="1" applyBorder="1">
      <alignment vertical="center"/>
    </xf>
    <xf numFmtId="176" fontId="0" fillId="11" borderId="4" xfId="0" applyNumberFormat="1" applyFill="1" applyBorder="1">
      <alignment vertical="center"/>
    </xf>
    <xf numFmtId="176" fontId="0" fillId="11" borderId="7" xfId="0" applyNumberFormat="1" applyFill="1" applyBorder="1">
      <alignment vertical="center"/>
    </xf>
    <xf numFmtId="176" fontId="3" fillId="11" borderId="7" xfId="0" applyNumberFormat="1" applyFont="1" applyFill="1" applyBorder="1">
      <alignment vertical="center"/>
    </xf>
    <xf numFmtId="176" fontId="0" fillId="11" borderId="13" xfId="0" applyNumberFormat="1" applyFill="1" applyBorder="1">
      <alignment vertical="center"/>
    </xf>
    <xf numFmtId="10" fontId="7" fillId="15" borderId="1" xfId="0" applyNumberFormat="1" applyFont="1" applyFill="1" applyBorder="1" applyAlignment="1">
      <alignment horizontal="center" vertical="center"/>
    </xf>
    <xf numFmtId="10" fontId="0" fillId="11" borderId="1" xfId="0" applyNumberFormat="1" applyFill="1" applyBorder="1">
      <alignment vertical="center"/>
    </xf>
    <xf numFmtId="10" fontId="0" fillId="11" borderId="5" xfId="0" applyNumberFormat="1" applyFill="1" applyBorder="1">
      <alignment vertical="center"/>
    </xf>
    <xf numFmtId="10" fontId="0" fillId="11" borderId="14" xfId="0" applyNumberFormat="1" applyFill="1" applyBorder="1">
      <alignment vertical="center"/>
    </xf>
    <xf numFmtId="176" fontId="0" fillId="6" borderId="2" xfId="0" applyNumberFormat="1" applyFill="1" applyBorder="1">
      <alignment vertical="center"/>
    </xf>
    <xf numFmtId="176" fontId="0" fillId="4" borderId="6" xfId="0" applyNumberFormat="1" applyFill="1" applyBorder="1">
      <alignment vertical="center"/>
    </xf>
    <xf numFmtId="176" fontId="0" fillId="4" borderId="0" xfId="0" applyNumberFormat="1" applyFill="1">
      <alignment vertical="center"/>
    </xf>
    <xf numFmtId="176" fontId="0" fillId="4" borderId="11" xfId="0" applyNumberFormat="1" applyFill="1" applyBorder="1">
      <alignment vertical="center"/>
    </xf>
    <xf numFmtId="176" fontId="0" fillId="6" borderId="6" xfId="0" applyNumberFormat="1" applyFill="1" applyBorder="1">
      <alignment vertical="center"/>
    </xf>
    <xf numFmtId="176" fontId="0" fillId="4" borderId="2" xfId="0" applyNumberFormat="1" applyFill="1" applyBorder="1">
      <alignment vertical="center"/>
    </xf>
    <xf numFmtId="176" fontId="0" fillId="7" borderId="0" xfId="0" applyNumberFormat="1" applyFill="1">
      <alignment vertical="center"/>
    </xf>
    <xf numFmtId="176" fontId="0" fillId="5" borderId="0" xfId="0" applyNumberFormat="1" applyFill="1">
      <alignment vertical="center"/>
    </xf>
    <xf numFmtId="176" fontId="0" fillId="0" borderId="4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13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1" xfId="0" applyBorder="1">
      <alignment vertical="center"/>
    </xf>
    <xf numFmtId="176" fontId="0" fillId="0" borderId="11" xfId="0" applyNumberFormat="1" applyBorder="1" applyAlignment="1">
      <alignment horizontal="center" vertical="center"/>
    </xf>
    <xf numFmtId="176" fontId="0" fillId="5" borderId="2" xfId="0" applyNumberFormat="1" applyFill="1" applyBorder="1">
      <alignment vertical="center"/>
    </xf>
    <xf numFmtId="176" fontId="0" fillId="5" borderId="6" xfId="0" applyNumberFormat="1" applyFill="1" applyBorder="1">
      <alignment vertical="center"/>
    </xf>
    <xf numFmtId="176" fontId="0" fillId="7" borderId="6" xfId="0" applyNumberFormat="1" applyFill="1" applyBorder="1">
      <alignment vertical="center"/>
    </xf>
    <xf numFmtId="176" fontId="1" fillId="7" borderId="2" xfId="0" applyNumberFormat="1" applyFont="1" applyFill="1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13" xfId="0" applyBorder="1">
      <alignment vertical="center"/>
    </xf>
    <xf numFmtId="176" fontId="0" fillId="0" borderId="7" xfId="0" applyNumberFormat="1" applyBorder="1" applyAlignment="1">
      <alignment horizontal="center" vertical="center"/>
    </xf>
    <xf numFmtId="176" fontId="1" fillId="10" borderId="2" xfId="0" applyNumberFormat="1" applyFont="1" applyFill="1" applyBorder="1" applyAlignment="1">
      <alignment horizontal="center" vertical="center"/>
    </xf>
    <xf numFmtId="176" fontId="2" fillId="10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1" fillId="7" borderId="3" xfId="0" applyNumberFormat="1" applyFont="1" applyFill="1" applyBorder="1">
      <alignment vertical="center"/>
    </xf>
    <xf numFmtId="10" fontId="0" fillId="0" borderId="13" xfId="0" applyNumberFormat="1" applyBorder="1">
      <alignment vertical="center"/>
    </xf>
    <xf numFmtId="176" fontId="1" fillId="8" borderId="2" xfId="0" applyNumberFormat="1" applyFont="1" applyFill="1" applyBorder="1" applyAlignment="1">
      <alignment horizontal="center" vertical="center"/>
    </xf>
    <xf numFmtId="176" fontId="0" fillId="12" borderId="6" xfId="0" applyNumberFormat="1" applyFill="1" applyBorder="1">
      <alignment vertical="center"/>
    </xf>
    <xf numFmtId="176" fontId="0" fillId="12" borderId="2" xfId="0" applyNumberFormat="1" applyFill="1" applyBorder="1">
      <alignment vertical="center"/>
    </xf>
    <xf numFmtId="176" fontId="0" fillId="12" borderId="11" xfId="0" applyNumberFormat="1" applyFill="1" applyBorder="1">
      <alignment vertical="center"/>
    </xf>
    <xf numFmtId="176" fontId="1" fillId="10" borderId="6" xfId="0" applyNumberFormat="1" applyFont="1" applyFill="1" applyBorder="1" applyAlignment="1">
      <alignment horizontal="center" vertical="center"/>
    </xf>
    <xf numFmtId="10" fontId="0" fillId="11" borderId="4" xfId="0" applyNumberFormat="1" applyFill="1" applyBorder="1">
      <alignment vertical="center"/>
    </xf>
    <xf numFmtId="10" fontId="0" fillId="11" borderId="7" xfId="0" applyNumberFormat="1" applyFill="1" applyBorder="1">
      <alignment vertical="center"/>
    </xf>
    <xf numFmtId="10" fontId="0" fillId="11" borderId="13" xfId="0" applyNumberFormat="1" applyFill="1" applyBorder="1">
      <alignment vertical="center"/>
    </xf>
    <xf numFmtId="176" fontId="3" fillId="11" borderId="0" xfId="0" applyNumberFormat="1" applyFont="1" applyFill="1">
      <alignment vertical="center"/>
    </xf>
    <xf numFmtId="176" fontId="0" fillId="19" borderId="2" xfId="0" applyNumberFormat="1" applyFill="1" applyBorder="1">
      <alignment vertical="center"/>
    </xf>
    <xf numFmtId="10" fontId="0" fillId="0" borderId="0" xfId="1" applyNumberFormat="1" applyFont="1">
      <alignment vertical="center"/>
    </xf>
    <xf numFmtId="176" fontId="3" fillId="11" borderId="3" xfId="0" applyNumberFormat="1" applyFont="1" applyFill="1" applyBorder="1" applyAlignment="1">
      <alignment horizontal="center" vertical="center"/>
    </xf>
    <xf numFmtId="176" fontId="3" fillId="11" borderId="0" xfId="0" applyNumberFormat="1" applyFont="1" applyFill="1" applyAlignment="1">
      <alignment horizontal="center" vertical="center"/>
    </xf>
    <xf numFmtId="176" fontId="3" fillId="11" borderId="12" xfId="0" applyNumberFormat="1" applyFont="1" applyFill="1" applyBorder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10" fontId="0" fillId="3" borderId="7" xfId="0" applyNumberFormat="1" applyFill="1" applyBorder="1" applyAlignment="1">
      <alignment horizontal="center" vertical="center"/>
    </xf>
    <xf numFmtId="10" fontId="0" fillId="3" borderId="13" xfId="0" applyNumberFormat="1" applyFill="1" applyBorder="1" applyAlignment="1">
      <alignment horizontal="center" vertical="center"/>
    </xf>
    <xf numFmtId="10" fontId="0" fillId="8" borderId="4" xfId="0" applyNumberFormat="1" applyFill="1" applyBorder="1" applyAlignment="1">
      <alignment horizontal="center" vertical="center"/>
    </xf>
    <xf numFmtId="10" fontId="0" fillId="8" borderId="7" xfId="0" applyNumberFormat="1" applyFill="1" applyBorder="1" applyAlignment="1">
      <alignment horizontal="center" vertical="center"/>
    </xf>
    <xf numFmtId="10" fontId="0" fillId="8" borderId="13" xfId="0" applyNumberFormat="1" applyFill="1" applyBorder="1" applyAlignment="1">
      <alignment horizontal="center" vertical="center"/>
    </xf>
    <xf numFmtId="10" fontId="0" fillId="12" borderId="0" xfId="0" applyNumberFormat="1" applyFill="1" applyAlignment="1">
      <alignment horizontal="center" vertical="center"/>
    </xf>
    <xf numFmtId="10" fontId="0" fillId="12" borderId="3" xfId="0" applyNumberFormat="1" applyFill="1" applyBorder="1" applyAlignment="1">
      <alignment horizontal="center" vertical="center"/>
    </xf>
    <xf numFmtId="10" fontId="0" fillId="12" borderId="12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1" fillId="18" borderId="4" xfId="0" applyNumberFormat="1" applyFont="1" applyFill="1" applyBorder="1" applyAlignment="1">
      <alignment horizontal="center" vertical="center"/>
    </xf>
    <xf numFmtId="176" fontId="1" fillId="18" borderId="13" xfId="0" applyNumberFormat="1" applyFont="1" applyFill="1" applyBorder="1" applyAlignment="1">
      <alignment horizontal="center" vertical="center"/>
    </xf>
    <xf numFmtId="176" fontId="0" fillId="17" borderId="2" xfId="0" applyNumberFormat="1" applyFill="1" applyBorder="1" applyAlignment="1">
      <alignment horizontal="center" vertical="center"/>
    </xf>
    <xf numFmtId="176" fontId="0" fillId="17" borderId="4" xfId="0" applyNumberFormat="1" applyFill="1" applyBorder="1" applyAlignment="1">
      <alignment horizontal="center" vertical="center"/>
    </xf>
    <xf numFmtId="176" fontId="0" fillId="17" borderId="11" xfId="0" applyNumberFormat="1" applyFill="1" applyBorder="1" applyAlignment="1">
      <alignment horizontal="center" vertical="center"/>
    </xf>
    <xf numFmtId="176" fontId="0" fillId="17" borderId="13" xfId="0" applyNumberFormat="1" applyFill="1" applyBorder="1" applyAlignment="1">
      <alignment horizontal="center" vertical="center"/>
    </xf>
    <xf numFmtId="176" fontId="7" fillId="9" borderId="2" xfId="0" applyNumberFormat="1" applyFont="1" applyFill="1" applyBorder="1" applyAlignment="1">
      <alignment horizontal="center" vertical="center"/>
    </xf>
    <xf numFmtId="176" fontId="0" fillId="9" borderId="3" xfId="0" applyNumberFormat="1" applyFill="1" applyBorder="1" applyAlignment="1">
      <alignment horizontal="center" vertical="center"/>
    </xf>
    <xf numFmtId="176" fontId="0" fillId="9" borderId="4" xfId="0" applyNumberFormat="1" applyFill="1" applyBorder="1" applyAlignment="1">
      <alignment horizontal="center" vertical="center"/>
    </xf>
    <xf numFmtId="176" fontId="0" fillId="14" borderId="2" xfId="0" applyNumberFormat="1" applyFill="1" applyBorder="1" applyAlignment="1">
      <alignment horizontal="center" vertical="center"/>
    </xf>
    <xf numFmtId="176" fontId="0" fillId="14" borderId="4" xfId="0" applyNumberFormat="1" applyFill="1" applyBorder="1" applyAlignment="1">
      <alignment horizontal="center" vertical="center"/>
    </xf>
    <xf numFmtId="176" fontId="0" fillId="12" borderId="2" xfId="0" applyNumberFormat="1" applyFill="1" applyBorder="1" applyAlignment="1">
      <alignment horizontal="center" vertical="center"/>
    </xf>
    <xf numFmtId="176" fontId="0" fillId="12" borderId="6" xfId="0" applyNumberFormat="1" applyFill="1" applyBorder="1" applyAlignment="1">
      <alignment horizontal="center" vertical="center"/>
    </xf>
    <xf numFmtId="176" fontId="0" fillId="12" borderId="11" xfId="0" applyNumberFormat="1" applyFill="1" applyBorder="1" applyAlignment="1">
      <alignment horizontal="center" vertical="center"/>
    </xf>
    <xf numFmtId="10" fontId="7" fillId="11" borderId="4" xfId="0" applyNumberFormat="1" applyFont="1" applyFill="1" applyBorder="1" applyAlignment="1">
      <alignment horizontal="center" vertical="center"/>
    </xf>
    <xf numFmtId="10" fontId="7" fillId="11" borderId="7" xfId="0" applyNumberFormat="1" applyFont="1" applyFill="1" applyBorder="1" applyAlignment="1">
      <alignment horizontal="center" vertical="center"/>
    </xf>
    <xf numFmtId="10" fontId="7" fillId="11" borderId="1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11" borderId="2" xfId="0" applyNumberFormat="1" applyFill="1" applyBorder="1" applyAlignment="1">
      <alignment horizontal="center" vertical="center"/>
    </xf>
    <xf numFmtId="176" fontId="0" fillId="11" borderId="6" xfId="0" applyNumberFormat="1" applyFill="1" applyBorder="1" applyAlignment="1">
      <alignment horizontal="center" vertical="center"/>
    </xf>
    <xf numFmtId="176" fontId="0" fillId="11" borderId="11" xfId="0" applyNumberFormat="1" applyFill="1" applyBorder="1" applyAlignment="1">
      <alignment horizontal="center" vertical="center"/>
    </xf>
    <xf numFmtId="176" fontId="5" fillId="11" borderId="2" xfId="0" applyNumberFormat="1" applyFont="1" applyFill="1" applyBorder="1" applyAlignment="1">
      <alignment horizontal="center" vertical="center"/>
    </xf>
    <xf numFmtId="176" fontId="5" fillId="11" borderId="6" xfId="0" applyNumberFormat="1" applyFont="1" applyFill="1" applyBorder="1" applyAlignment="1">
      <alignment horizontal="center" vertical="center"/>
    </xf>
    <xf numFmtId="176" fontId="5" fillId="11" borderId="11" xfId="0" applyNumberFormat="1" applyFont="1" applyFill="1" applyBorder="1" applyAlignment="1">
      <alignment horizontal="center" vertical="center"/>
    </xf>
    <xf numFmtId="176" fontId="2" fillId="11" borderId="2" xfId="0" applyNumberFormat="1" applyFont="1" applyFill="1" applyBorder="1" applyAlignment="1">
      <alignment horizontal="center" vertical="center"/>
    </xf>
    <xf numFmtId="176" fontId="2" fillId="11" borderId="6" xfId="0" applyNumberFormat="1" applyFont="1" applyFill="1" applyBorder="1" applyAlignment="1">
      <alignment horizontal="center" vertical="center"/>
    </xf>
    <xf numFmtId="176" fontId="2" fillId="11" borderId="1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0" fillId="18" borderId="4" xfId="0" applyNumberFormat="1" applyFill="1" applyBorder="1" applyAlignment="1">
      <alignment horizontal="center" vertical="center"/>
    </xf>
    <xf numFmtId="176" fontId="0" fillId="18" borderId="7" xfId="0" applyNumberFormat="1" applyFill="1" applyBorder="1" applyAlignment="1">
      <alignment horizontal="center" vertical="center"/>
    </xf>
    <xf numFmtId="176" fontId="0" fillId="18" borderId="13" xfId="0" applyNumberFormat="1" applyFill="1" applyBorder="1" applyAlignment="1">
      <alignment horizontal="center" vertical="center"/>
    </xf>
    <xf numFmtId="176" fontId="0" fillId="18" borderId="0" xfId="0" applyNumberFormat="1" applyFill="1" applyAlignment="1">
      <alignment horizontal="center" vertical="center"/>
    </xf>
    <xf numFmtId="176" fontId="0" fillId="18" borderId="3" xfId="0" applyNumberFormat="1" applyFill="1" applyBorder="1" applyAlignment="1">
      <alignment horizontal="center" vertical="center"/>
    </xf>
    <xf numFmtId="176" fontId="0" fillId="18" borderId="12" xfId="0" applyNumberFormat="1" applyFill="1" applyBorder="1" applyAlignment="1">
      <alignment horizontal="center" vertical="center"/>
    </xf>
    <xf numFmtId="176" fontId="1" fillId="18" borderId="3" xfId="0" applyNumberFormat="1" applyFont="1" applyFill="1" applyBorder="1" applyAlignment="1">
      <alignment horizontal="center" vertical="center"/>
    </xf>
    <xf numFmtId="176" fontId="2" fillId="11" borderId="3" xfId="0" applyNumberFormat="1" applyFont="1" applyFill="1" applyBorder="1" applyAlignment="1">
      <alignment horizontal="center" vertical="center"/>
    </xf>
    <xf numFmtId="176" fontId="2" fillId="11" borderId="0" xfId="0" applyNumberFormat="1" applyFont="1" applyFill="1" applyAlignment="1">
      <alignment horizontal="center" vertical="center"/>
    </xf>
    <xf numFmtId="176" fontId="2" fillId="11" borderId="12" xfId="0" applyNumberFormat="1" applyFont="1" applyFill="1" applyBorder="1" applyAlignment="1">
      <alignment horizontal="center" vertical="center"/>
    </xf>
    <xf numFmtId="176" fontId="0" fillId="11" borderId="4" xfId="0" applyNumberFormat="1" applyFill="1" applyBorder="1" applyAlignment="1">
      <alignment horizontal="center" vertical="center"/>
    </xf>
    <xf numFmtId="176" fontId="0" fillId="11" borderId="7" xfId="0" applyNumberFormat="1" applyFill="1" applyBorder="1" applyAlignment="1">
      <alignment horizontal="center" vertical="center"/>
    </xf>
    <xf numFmtId="176" fontId="0" fillId="11" borderId="13" xfId="0" applyNumberFormat="1" applyFill="1" applyBorder="1" applyAlignment="1">
      <alignment horizontal="center" vertical="center"/>
    </xf>
    <xf numFmtId="176" fontId="1" fillId="18" borderId="2" xfId="0" applyNumberFormat="1" applyFont="1" applyFill="1" applyBorder="1" applyAlignment="1">
      <alignment horizontal="center" vertical="center"/>
    </xf>
    <xf numFmtId="176" fontId="0" fillId="18" borderId="11" xfId="0" applyNumberFormat="1" applyFill="1" applyBorder="1" applyAlignment="1">
      <alignment horizontal="center" vertical="center"/>
    </xf>
    <xf numFmtId="176" fontId="0" fillId="18" borderId="6" xfId="0" applyNumberFormat="1" applyFill="1" applyBorder="1" applyAlignment="1">
      <alignment horizontal="center" vertical="center"/>
    </xf>
    <xf numFmtId="176" fontId="0" fillId="18" borderId="2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9" fontId="0" fillId="13" borderId="8" xfId="0" applyNumberFormat="1" applyFill="1" applyBorder="1" applyAlignment="1">
      <alignment horizontal="center" vertical="center"/>
    </xf>
    <xf numFmtId="9" fontId="0" fillId="13" borderId="9" xfId="0" applyNumberFormat="1" applyFill="1" applyBorder="1" applyAlignment="1">
      <alignment horizontal="center" vertical="center"/>
    </xf>
    <xf numFmtId="9" fontId="0" fillId="13" borderId="10" xfId="0" applyNumberFormat="1" applyFill="1" applyBorder="1" applyAlignment="1">
      <alignment horizontal="center" vertical="center"/>
    </xf>
    <xf numFmtId="177" fontId="1" fillId="16" borderId="2" xfId="0" applyNumberFormat="1" applyFont="1" applyFill="1" applyBorder="1" applyAlignment="1">
      <alignment horizontal="center" vertical="center"/>
    </xf>
    <xf numFmtId="177" fontId="1" fillId="16" borderId="3" xfId="0" applyNumberFormat="1" applyFont="1" applyFill="1" applyBorder="1" applyAlignment="1">
      <alignment horizontal="center" vertical="center"/>
    </xf>
    <xf numFmtId="176" fontId="0" fillId="16" borderId="3" xfId="0" applyNumberFormat="1" applyFill="1" applyBorder="1" applyAlignment="1">
      <alignment horizontal="center" vertical="center"/>
    </xf>
    <xf numFmtId="176" fontId="0" fillId="16" borderId="4" xfId="0" applyNumberFormat="1" applyFill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1" fillId="11" borderId="2" xfId="0" applyNumberFormat="1" applyFont="1" applyFill="1" applyBorder="1" applyAlignment="1">
      <alignment horizontal="center" vertical="center"/>
    </xf>
    <xf numFmtId="176" fontId="1" fillId="11" borderId="6" xfId="0" applyNumberFormat="1" applyFont="1" applyFill="1" applyBorder="1" applyAlignment="1">
      <alignment horizontal="center" vertical="center"/>
    </xf>
    <xf numFmtId="176" fontId="1" fillId="11" borderId="11" xfId="0" applyNumberFormat="1" applyFont="1" applyFill="1" applyBorder="1" applyAlignment="1">
      <alignment horizontal="center" vertical="center"/>
    </xf>
    <xf numFmtId="176" fontId="0" fillId="11" borderId="3" xfId="0" applyNumberFormat="1" applyFill="1" applyBorder="1" applyAlignment="1">
      <alignment horizontal="center" vertical="center"/>
    </xf>
    <xf numFmtId="176" fontId="0" fillId="11" borderId="0" xfId="0" applyNumberFormat="1" applyFill="1" applyAlignment="1">
      <alignment horizontal="center" vertical="center"/>
    </xf>
    <xf numFmtId="176" fontId="0" fillId="11" borderId="12" xfId="0" applyNumberFormat="1" applyFill="1" applyBorder="1" applyAlignment="1">
      <alignment horizontal="center" vertical="center"/>
    </xf>
    <xf numFmtId="10" fontId="0" fillId="3" borderId="3" xfId="0" applyNumberForma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0" fontId="0" fillId="3" borderId="12" xfId="0" applyNumberFormat="1" applyFill="1" applyBorder="1" applyAlignment="1">
      <alignment horizontal="center" vertical="center"/>
    </xf>
    <xf numFmtId="10" fontId="0" fillId="8" borderId="0" xfId="0" applyNumberFormat="1" applyFill="1" applyAlignment="1">
      <alignment horizontal="center" vertical="center"/>
    </xf>
    <xf numFmtId="10" fontId="0" fillId="8" borderId="3" xfId="0" applyNumberFormat="1" applyFill="1" applyBorder="1" applyAlignment="1">
      <alignment horizontal="center" vertical="center"/>
    </xf>
    <xf numFmtId="10" fontId="0" fillId="8" borderId="12" xfId="0" applyNumberFormat="1" applyFill="1" applyBorder="1" applyAlignment="1">
      <alignment horizontal="center" vertical="center"/>
    </xf>
    <xf numFmtId="177" fontId="0" fillId="11" borderId="4" xfId="0" applyNumberFormat="1" applyFill="1" applyBorder="1" applyAlignment="1">
      <alignment horizontal="center" vertical="center"/>
    </xf>
    <xf numFmtId="177" fontId="0" fillId="11" borderId="7" xfId="0" applyNumberFormat="1" applyFill="1" applyBorder="1" applyAlignment="1">
      <alignment horizontal="center" vertical="center"/>
    </xf>
    <xf numFmtId="177" fontId="0" fillId="11" borderId="13" xfId="0" applyNumberFormat="1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177" fontId="0" fillId="18" borderId="4" xfId="0" applyNumberFormat="1" applyFill="1" applyBorder="1" applyAlignment="1">
      <alignment horizontal="center" vertical="center"/>
    </xf>
    <xf numFmtId="177" fontId="0" fillId="18" borderId="7" xfId="0" applyNumberFormat="1" applyFill="1" applyBorder="1" applyAlignment="1">
      <alignment horizontal="center" vertical="center"/>
    </xf>
    <xf numFmtId="177" fontId="0" fillId="18" borderId="13" xfId="0" applyNumberFormat="1" applyFill="1" applyBorder="1" applyAlignment="1">
      <alignment horizontal="center" vertical="center"/>
    </xf>
    <xf numFmtId="10" fontId="0" fillId="18" borderId="0" xfId="0" applyNumberForma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10" fontId="0" fillId="18" borderId="3" xfId="0" applyNumberFormat="1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177" fontId="5" fillId="11" borderId="2" xfId="0" applyNumberFormat="1" applyFont="1" applyFill="1" applyBorder="1" applyAlignment="1">
      <alignment horizontal="center" vertical="center"/>
    </xf>
    <xf numFmtId="177" fontId="5" fillId="11" borderId="6" xfId="0" applyNumberFormat="1" applyFont="1" applyFill="1" applyBorder="1" applyAlignment="1">
      <alignment horizontal="center" vertical="center"/>
    </xf>
    <xf numFmtId="177" fontId="5" fillId="11" borderId="11" xfId="0" applyNumberFormat="1" applyFont="1" applyFill="1" applyBorder="1" applyAlignment="1">
      <alignment horizontal="center" vertical="center"/>
    </xf>
    <xf numFmtId="177" fontId="0" fillId="11" borderId="2" xfId="0" applyNumberFormat="1" applyFill="1" applyBorder="1" applyAlignment="1">
      <alignment horizontal="center" vertical="center"/>
    </xf>
    <xf numFmtId="177" fontId="0" fillId="11" borderId="6" xfId="0" applyNumberFormat="1" applyFill="1" applyBorder="1" applyAlignment="1">
      <alignment horizontal="center" vertical="center"/>
    </xf>
    <xf numFmtId="177" fontId="0" fillId="11" borderId="11" xfId="0" applyNumberFormat="1" applyFill="1" applyBorder="1" applyAlignment="1">
      <alignment horizontal="center" vertical="center"/>
    </xf>
    <xf numFmtId="177" fontId="0" fillId="11" borderId="3" xfId="0" applyNumberFormat="1" applyFill="1" applyBorder="1" applyAlignment="1">
      <alignment horizontal="center" vertical="center"/>
    </xf>
    <xf numFmtId="177" fontId="0" fillId="11" borderId="0" xfId="0" applyNumberFormat="1" applyFill="1" applyAlignment="1">
      <alignment horizontal="center" vertical="center"/>
    </xf>
    <xf numFmtId="177" fontId="0" fillId="11" borderId="12" xfId="0" applyNumberFormat="1" applyFill="1" applyBorder="1" applyAlignment="1">
      <alignment horizontal="center" vertical="center"/>
    </xf>
    <xf numFmtId="177" fontId="2" fillId="11" borderId="2" xfId="0" applyNumberFormat="1" applyFont="1" applyFill="1" applyBorder="1" applyAlignment="1">
      <alignment horizontal="center" vertical="center"/>
    </xf>
    <xf numFmtId="177" fontId="2" fillId="11" borderId="6" xfId="0" applyNumberFormat="1" applyFont="1" applyFill="1" applyBorder="1" applyAlignment="1">
      <alignment horizontal="center" vertical="center"/>
    </xf>
    <xf numFmtId="177" fontId="2" fillId="11" borderId="11" xfId="0" applyNumberFormat="1" applyFont="1" applyFill="1" applyBorder="1" applyAlignment="1">
      <alignment horizontal="center" vertical="center"/>
    </xf>
    <xf numFmtId="177" fontId="1" fillId="11" borderId="2" xfId="0" applyNumberFormat="1" applyFont="1" applyFill="1" applyBorder="1" applyAlignment="1">
      <alignment horizontal="center" vertical="center"/>
    </xf>
    <xf numFmtId="177" fontId="1" fillId="11" borderId="6" xfId="0" applyNumberFormat="1" applyFont="1" applyFill="1" applyBorder="1" applyAlignment="1">
      <alignment horizontal="center" vertical="center"/>
    </xf>
    <xf numFmtId="177" fontId="1" fillId="11" borderId="1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4" xfId="0" applyNumberFormat="1" applyFont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76" fontId="0" fillId="14" borderId="8" xfId="0" applyNumberFormat="1" applyFill="1" applyBorder="1" applyAlignment="1">
      <alignment horizontal="center" vertical="center"/>
    </xf>
    <xf numFmtId="176" fontId="0" fillId="14" borderId="10" xfId="0" applyNumberFormat="1" applyFill="1" applyBorder="1" applyAlignment="1">
      <alignment horizontal="center" vertical="center"/>
    </xf>
    <xf numFmtId="176" fontId="0" fillId="17" borderId="3" xfId="0" applyNumberForma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176" fontId="0" fillId="12" borderId="5" xfId="0" applyNumberFormat="1" applyFill="1" applyBorder="1" applyAlignment="1">
      <alignment horizontal="center" vertical="center"/>
    </xf>
    <xf numFmtId="176" fontId="0" fillId="12" borderId="14" xfId="0" applyNumberForma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0" fillId="3" borderId="12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13" xfId="0" applyNumberFormat="1" applyFill="1" applyBorder="1" applyAlignment="1">
      <alignment horizontal="center" vertical="center"/>
    </xf>
    <xf numFmtId="176" fontId="0" fillId="8" borderId="0" xfId="0" applyNumberFormat="1" applyFill="1" applyAlignment="1">
      <alignment horizontal="center" vertical="center"/>
    </xf>
    <xf numFmtId="176" fontId="0" fillId="8" borderId="3" xfId="0" applyNumberFormat="1" applyFill="1" applyBorder="1" applyAlignment="1">
      <alignment horizontal="center" vertical="center"/>
    </xf>
    <xf numFmtId="176" fontId="0" fillId="8" borderId="12" xfId="0" applyNumberFormat="1" applyFill="1" applyBorder="1" applyAlignment="1">
      <alignment horizontal="center" vertical="center"/>
    </xf>
    <xf numFmtId="176" fontId="0" fillId="8" borderId="4" xfId="0" applyNumberFormat="1" applyFill="1" applyBorder="1" applyAlignment="1">
      <alignment horizontal="center" vertical="center"/>
    </xf>
    <xf numFmtId="176" fontId="0" fillId="8" borderId="7" xfId="0" applyNumberFormat="1" applyFill="1" applyBorder="1" applyAlignment="1">
      <alignment horizontal="center" vertical="center"/>
    </xf>
    <xf numFmtId="176" fontId="0" fillId="8" borderId="13" xfId="0" applyNumberFormat="1" applyFill="1" applyBorder="1" applyAlignment="1">
      <alignment horizontal="center" vertical="center"/>
    </xf>
    <xf numFmtId="10" fontId="0" fillId="18" borderId="12" xfId="0" applyNumberFormat="1" applyFill="1" applyBorder="1" applyAlignment="1">
      <alignment horizontal="center" vertical="center"/>
    </xf>
    <xf numFmtId="10" fontId="1" fillId="11" borderId="3" xfId="0" applyNumberFormat="1" applyFont="1" applyFill="1" applyBorder="1" applyAlignment="1">
      <alignment horizontal="center" vertical="center"/>
    </xf>
    <xf numFmtId="10" fontId="1" fillId="11" borderId="0" xfId="0" applyNumberFormat="1" applyFont="1" applyFill="1" applyAlignment="1">
      <alignment horizontal="center" vertical="center"/>
    </xf>
    <xf numFmtId="10" fontId="1" fillId="11" borderId="12" xfId="0" applyNumberFormat="1" applyFont="1" applyFill="1" applyBorder="1" applyAlignment="1">
      <alignment horizontal="center" vertical="center"/>
    </xf>
    <xf numFmtId="10" fontId="0" fillId="12" borderId="1" xfId="1" applyNumberFormat="1" applyFont="1" applyFill="1" applyBorder="1" applyAlignment="1">
      <alignment horizontal="center" vertical="center"/>
    </xf>
    <xf numFmtId="10" fontId="0" fillId="12" borderId="5" xfId="1" applyNumberFormat="1" applyFont="1" applyFill="1" applyBorder="1" applyAlignment="1">
      <alignment horizontal="center" vertical="center"/>
    </xf>
    <xf numFmtId="10" fontId="0" fillId="12" borderId="14" xfId="1" applyNumberFormat="1" applyFont="1" applyFill="1" applyBorder="1" applyAlignment="1">
      <alignment horizontal="center" vertical="center"/>
    </xf>
    <xf numFmtId="176" fontId="1" fillId="18" borderId="7" xfId="0" applyNumberFormat="1" applyFont="1" applyFill="1" applyBorder="1" applyAlignment="1">
      <alignment horizontal="center" vertical="center"/>
    </xf>
    <xf numFmtId="176" fontId="0" fillId="17" borderId="6" xfId="0" applyNumberFormat="1" applyFill="1" applyBorder="1" applyAlignment="1">
      <alignment horizontal="center" vertical="center"/>
    </xf>
    <xf numFmtId="176" fontId="0" fillId="17" borderId="0" xfId="0" applyNumberFormat="1" applyFill="1" applyAlignment="1">
      <alignment horizontal="center" vertical="center"/>
    </xf>
    <xf numFmtId="9" fontId="0" fillId="13" borderId="2" xfId="0" applyNumberFormat="1" applyFill="1" applyBorder="1" applyAlignment="1">
      <alignment horizontal="center" vertical="center"/>
    </xf>
    <xf numFmtId="9" fontId="0" fillId="13" borderId="3" xfId="0" applyNumberFormat="1" applyFill="1" applyBorder="1" applyAlignment="1">
      <alignment horizontal="center" vertical="center"/>
    </xf>
    <xf numFmtId="9" fontId="0" fillId="13" borderId="4" xfId="0" applyNumberForma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"/>
  <sheetViews>
    <sheetView topLeftCell="A16" zoomScale="70" zoomScaleNormal="70" workbookViewId="0">
      <selection activeCell="D2" sqref="D1:E1048576"/>
    </sheetView>
  </sheetViews>
  <sheetFormatPr defaultColWidth="9" defaultRowHeight="14" x14ac:dyDescent="0.25"/>
  <cols>
    <col min="1" max="3" width="9" style="19"/>
    <col min="4" max="7" width="9.1796875" style="34" customWidth="1"/>
    <col min="8" max="8" width="9.1796875" style="35" customWidth="1"/>
    <col min="9" max="9" width="9.6328125" style="20" customWidth="1"/>
    <col min="10" max="10" width="9.6328125" style="36" customWidth="1"/>
    <col min="11" max="11" width="9.81640625" style="20" customWidth="1"/>
    <col min="12" max="12" width="9.1796875" style="20" customWidth="1"/>
    <col min="13" max="13" width="9.54296875" style="20"/>
    <col min="14" max="17" width="9" style="20"/>
    <col min="18" max="18" width="9.1796875" style="20" customWidth="1"/>
    <col min="19" max="19" width="9.1796875" style="36" customWidth="1"/>
    <col min="20" max="20" width="9.54296875" style="20"/>
    <col min="21" max="21" width="9" style="36"/>
    <col min="22" max="22" width="9.1796875" style="20" customWidth="1"/>
    <col min="23" max="23" width="9.1796875" style="36" customWidth="1"/>
    <col min="24" max="24" width="9" style="20"/>
    <col min="25" max="25" width="9" style="36"/>
    <col min="26" max="26" width="9.08984375" style="20" customWidth="1"/>
    <col min="27" max="27" width="9.08984375" style="36" customWidth="1"/>
    <col min="28" max="28" width="9.1796875" style="19" customWidth="1"/>
    <col min="29" max="29" width="9.1796875" style="36" customWidth="1"/>
    <col min="30" max="30" width="9.6328125" style="19" customWidth="1"/>
    <col min="31" max="31" width="9.1796875" style="36" customWidth="1"/>
    <col min="32" max="32" width="10.1796875" style="19" customWidth="1"/>
    <col min="33" max="33" width="10.1796875" style="36" customWidth="1"/>
    <col min="34" max="34" width="10.1796875" style="19" customWidth="1"/>
    <col min="35" max="35" width="10.1796875" style="36" customWidth="1"/>
    <col min="36" max="36" width="9" style="19"/>
    <col min="37" max="37" width="9.1796875" style="20" bestFit="1" customWidth="1"/>
    <col min="38" max="38" width="10.1796875" style="20" bestFit="1" customWidth="1"/>
    <col min="39" max="16384" width="9" style="19"/>
  </cols>
  <sheetData>
    <row r="1" spans="1:38" ht="14.5" thickBot="1" x14ac:dyDescent="0.3">
      <c r="A1" s="194" t="s">
        <v>26</v>
      </c>
      <c r="B1" s="212" t="s">
        <v>25</v>
      </c>
      <c r="C1" s="194" t="s">
        <v>24</v>
      </c>
      <c r="D1" s="218" t="s">
        <v>0</v>
      </c>
      <c r="E1" s="219"/>
      <c r="F1" s="219"/>
      <c r="G1" s="219"/>
      <c r="H1" s="219"/>
      <c r="I1" s="220"/>
      <c r="J1" s="220"/>
      <c r="K1" s="220"/>
      <c r="L1" s="221"/>
      <c r="M1" s="208" t="s">
        <v>1</v>
      </c>
      <c r="N1" s="201" t="s">
        <v>2</v>
      </c>
      <c r="O1" s="201" t="s">
        <v>3</v>
      </c>
      <c r="P1" s="165" t="s">
        <v>20</v>
      </c>
      <c r="R1" s="167" t="s">
        <v>4</v>
      </c>
      <c r="S1" s="168"/>
      <c r="T1" s="171" t="s">
        <v>17</v>
      </c>
      <c r="U1" s="172"/>
      <c r="V1" s="172"/>
      <c r="W1" s="172"/>
      <c r="X1" s="172"/>
      <c r="Y1" s="172"/>
      <c r="Z1" s="172"/>
      <c r="AA1" s="173"/>
      <c r="AB1" s="214" t="s">
        <v>5</v>
      </c>
      <c r="AC1" s="214"/>
      <c r="AD1" s="214"/>
      <c r="AE1" s="214"/>
      <c r="AF1" s="214"/>
      <c r="AG1" s="214"/>
      <c r="AH1" s="214"/>
      <c r="AI1" s="214"/>
      <c r="AK1" s="224" t="s">
        <v>12</v>
      </c>
      <c r="AL1" s="222" t="s">
        <v>13</v>
      </c>
    </row>
    <row r="2" spans="1:38" ht="14.5" thickBot="1" x14ac:dyDescent="0.3">
      <c r="A2" s="184"/>
      <c r="B2" s="213"/>
      <c r="C2" s="184"/>
      <c r="D2" s="38" t="s">
        <v>15</v>
      </c>
      <c r="E2" s="77" t="s">
        <v>18</v>
      </c>
      <c r="F2" s="77"/>
      <c r="G2" s="42" t="s">
        <v>19</v>
      </c>
      <c r="H2" s="39" t="s">
        <v>16</v>
      </c>
      <c r="I2" s="40" t="s">
        <v>6</v>
      </c>
      <c r="J2" s="41" t="s">
        <v>14</v>
      </c>
      <c r="K2" s="42" t="s">
        <v>7</v>
      </c>
      <c r="L2" s="43" t="s">
        <v>8</v>
      </c>
      <c r="M2" s="209"/>
      <c r="N2" s="200"/>
      <c r="O2" s="200"/>
      <c r="P2" s="166"/>
      <c r="R2" s="169"/>
      <c r="S2" s="170"/>
      <c r="T2" s="174">
        <v>3</v>
      </c>
      <c r="U2" s="175"/>
      <c r="V2" s="174">
        <v>6</v>
      </c>
      <c r="W2" s="175"/>
      <c r="X2" s="174">
        <v>9</v>
      </c>
      <c r="Y2" s="175"/>
      <c r="Z2" s="174">
        <v>12</v>
      </c>
      <c r="AA2" s="175"/>
      <c r="AB2" s="215">
        <v>0.2</v>
      </c>
      <c r="AC2" s="216"/>
      <c r="AD2" s="215">
        <v>0.4</v>
      </c>
      <c r="AE2" s="217"/>
      <c r="AF2" s="216">
        <v>0.6</v>
      </c>
      <c r="AG2" s="216"/>
      <c r="AH2" s="215">
        <v>0.8</v>
      </c>
      <c r="AI2" s="217"/>
      <c r="AK2" s="225"/>
      <c r="AL2" s="223"/>
    </row>
    <row r="3" spans="1:38" x14ac:dyDescent="0.25">
      <c r="A3" s="163">
        <v>36</v>
      </c>
      <c r="B3" s="182" t="s">
        <v>9</v>
      </c>
      <c r="C3" s="194" t="s">
        <v>21</v>
      </c>
      <c r="D3" s="78">
        <v>1198.1934999771199</v>
      </c>
      <c r="E3" s="79">
        <v>7.1823607981204898</v>
      </c>
      <c r="F3" s="151">
        <f>AVERAGE(E3:E7)</f>
        <v>5.2009110575150164</v>
      </c>
      <c r="G3" s="79">
        <v>64.820931673049898</v>
      </c>
      <c r="H3" s="80">
        <f>(D3-AL3)/(AK3-AL3)</f>
        <v>1</v>
      </c>
      <c r="I3" s="188">
        <f>AVERAGE(D3:D7)</f>
        <v>981.23584218343512</v>
      </c>
      <c r="J3" s="179">
        <f>AVERAGE(H3:H7)</f>
        <v>0.90654460670875636</v>
      </c>
      <c r="K3" s="202">
        <f>MAX(D3:D7)</f>
        <v>1198.1934999771199</v>
      </c>
      <c r="L3" s="205">
        <f>MIN(D3:D7)</f>
        <v>836.59740365431196</v>
      </c>
      <c r="M3" s="210">
        <v>1198.19</v>
      </c>
      <c r="N3" s="198">
        <v>0</v>
      </c>
      <c r="O3" s="198">
        <v>0.61</v>
      </c>
      <c r="P3" s="196">
        <f>M3/I3</f>
        <v>1.2211029688171611</v>
      </c>
      <c r="R3" s="176">
        <v>-137.82095601677301</v>
      </c>
      <c r="S3" s="161">
        <f>(R3-AL3)/(AK3-AL3)</f>
        <v>0.42450634055779962</v>
      </c>
      <c r="T3" s="52">
        <v>-137.82095601677301</v>
      </c>
      <c r="U3" s="157">
        <f>(T3-AL3)/(AK3-AL3)</f>
        <v>0.42450634055779962</v>
      </c>
      <c r="V3" s="52">
        <v>-137.82095601677301</v>
      </c>
      <c r="W3" s="157">
        <f>(V3-AL3)/(AK3-AL3)</f>
        <v>0.42450634055779962</v>
      </c>
      <c r="X3" s="59">
        <v>302.88833272281101</v>
      </c>
      <c r="Y3" s="157">
        <f>(X3-AL3)/(AK3-AL3)</f>
        <v>0.61434365870136309</v>
      </c>
      <c r="Z3" s="52">
        <v>-15.6185759224227</v>
      </c>
      <c r="AA3" s="157">
        <f>(Z3-AL3)/(AK3-AL3)</f>
        <v>0.4771455126846661</v>
      </c>
      <c r="AB3" s="26">
        <v>664.48442904562603</v>
      </c>
      <c r="AC3" s="154">
        <f>(AB3-AL3)/(AK3-AL3)</f>
        <v>0.77010264752010571</v>
      </c>
      <c r="AD3" s="60">
        <v>-87.8946749895171</v>
      </c>
      <c r="AE3" s="154">
        <f>(AD3-AL3)/(AK3-AL3)</f>
        <v>0.44601228912131319</v>
      </c>
      <c r="AF3" s="30">
        <v>445.81439594198298</v>
      </c>
      <c r="AG3" s="154">
        <f>(AF3-AL3)/(AK3-AL3)</f>
        <v>0.67590964160121025</v>
      </c>
      <c r="AH3" s="60">
        <v>-1123.31679657216</v>
      </c>
      <c r="AI3" s="154">
        <f>(AH3-AL3)/(AK3-AL3)</f>
        <v>0</v>
      </c>
      <c r="AK3" s="75">
        <f>MAX(D3:D7,R3,T3,V3,X3,Z3,AB3,AD3,AF3,AH3)</f>
        <v>1198.1934999771199</v>
      </c>
      <c r="AL3" s="134">
        <f>MIN(D3:D7,R3,T3,V3,X3,Z3,AB3,AD3,AF3,AH3)</f>
        <v>-1123.31679657216</v>
      </c>
    </row>
    <row r="4" spans="1:38" x14ac:dyDescent="0.25">
      <c r="A4" s="163"/>
      <c r="B4" s="163"/>
      <c r="C4" s="183"/>
      <c r="D4" s="81">
        <v>836.59740365431196</v>
      </c>
      <c r="E4" s="82">
        <v>3.6455215017000802</v>
      </c>
      <c r="F4" s="152"/>
      <c r="G4" s="82">
        <v>43.783097743988002</v>
      </c>
      <c r="H4" s="83">
        <f t="shared" ref="H4:H47" si="0">(D4-AL4)/(AK4-AL4)</f>
        <v>0.8442410111812606</v>
      </c>
      <c r="I4" s="189"/>
      <c r="J4" s="180"/>
      <c r="K4" s="203"/>
      <c r="L4" s="206"/>
      <c r="M4" s="210"/>
      <c r="N4" s="198"/>
      <c r="O4" s="198"/>
      <c r="P4" s="196"/>
      <c r="R4" s="177"/>
      <c r="S4" s="160"/>
      <c r="T4" s="54"/>
      <c r="U4" s="158"/>
      <c r="V4" s="54"/>
      <c r="W4" s="158"/>
      <c r="X4" s="54"/>
      <c r="Y4" s="158"/>
      <c r="Z4" s="54"/>
      <c r="AA4" s="158"/>
      <c r="AB4" s="27"/>
      <c r="AC4" s="155"/>
      <c r="AD4" s="31"/>
      <c r="AE4" s="155"/>
      <c r="AF4" s="27"/>
      <c r="AG4" s="155"/>
      <c r="AH4" s="31"/>
      <c r="AI4" s="155"/>
      <c r="AK4" s="75">
        <v>1198.1934999771199</v>
      </c>
      <c r="AL4" s="134">
        <v>-1123.31679657216</v>
      </c>
    </row>
    <row r="5" spans="1:38" x14ac:dyDescent="0.25">
      <c r="A5" s="163"/>
      <c r="B5" s="163"/>
      <c r="C5" s="183"/>
      <c r="D5" s="81">
        <v>836.59740365431196</v>
      </c>
      <c r="E5" s="82">
        <v>4.5684782908512904</v>
      </c>
      <c r="F5" s="152"/>
      <c r="G5" s="82">
        <v>59.428050756454397</v>
      </c>
      <c r="H5" s="83">
        <f t="shared" si="0"/>
        <v>0.8442410111812606</v>
      </c>
      <c r="I5" s="189"/>
      <c r="J5" s="180"/>
      <c r="K5" s="203"/>
      <c r="L5" s="206"/>
      <c r="M5" s="210"/>
      <c r="N5" s="198"/>
      <c r="O5" s="198"/>
      <c r="P5" s="196"/>
      <c r="R5" s="177"/>
      <c r="S5" s="160"/>
      <c r="T5" s="54"/>
      <c r="U5" s="158"/>
      <c r="V5" s="54"/>
      <c r="W5" s="158"/>
      <c r="X5" s="54"/>
      <c r="Y5" s="158"/>
      <c r="Z5" s="54"/>
      <c r="AA5" s="158"/>
      <c r="AB5" s="27"/>
      <c r="AC5" s="155"/>
      <c r="AD5" s="31"/>
      <c r="AE5" s="155"/>
      <c r="AF5" s="27"/>
      <c r="AG5" s="155"/>
      <c r="AH5" s="31"/>
      <c r="AI5" s="155"/>
      <c r="AK5" s="75">
        <v>1198.1934999771199</v>
      </c>
      <c r="AL5" s="134">
        <v>-1123.31679657216</v>
      </c>
    </row>
    <row r="6" spans="1:38" x14ac:dyDescent="0.25">
      <c r="A6" s="163"/>
      <c r="B6" s="163"/>
      <c r="C6" s="183"/>
      <c r="D6" s="81">
        <v>836.59740365431196</v>
      </c>
      <c r="E6" s="82">
        <v>3.7518870631853698</v>
      </c>
      <c r="F6" s="152"/>
      <c r="G6" s="82">
        <v>45.058489322662297</v>
      </c>
      <c r="H6" s="83">
        <f t="shared" si="0"/>
        <v>0.8442410111812606</v>
      </c>
      <c r="I6" s="189"/>
      <c r="J6" s="180"/>
      <c r="K6" s="203"/>
      <c r="L6" s="206"/>
      <c r="M6" s="210"/>
      <c r="N6" s="198"/>
      <c r="O6" s="198"/>
      <c r="P6" s="196"/>
      <c r="R6" s="177"/>
      <c r="S6" s="160"/>
      <c r="T6" s="54"/>
      <c r="U6" s="158"/>
      <c r="V6" s="54"/>
      <c r="W6" s="158"/>
      <c r="X6" s="54"/>
      <c r="Y6" s="158"/>
      <c r="Z6" s="54"/>
      <c r="AA6" s="158"/>
      <c r="AB6" s="27"/>
      <c r="AC6" s="155"/>
      <c r="AD6" s="31"/>
      <c r="AE6" s="155"/>
      <c r="AF6" s="27"/>
      <c r="AG6" s="155"/>
      <c r="AH6" s="31"/>
      <c r="AI6" s="155"/>
      <c r="AK6" s="75">
        <v>1198.1934999771199</v>
      </c>
      <c r="AL6" s="134">
        <v>-1123.31679657216</v>
      </c>
    </row>
    <row r="7" spans="1:38" ht="14.5" thickBot="1" x14ac:dyDescent="0.3">
      <c r="A7" s="163"/>
      <c r="B7" s="163"/>
      <c r="C7" s="183"/>
      <c r="D7" s="84">
        <v>1198.1934999771199</v>
      </c>
      <c r="E7" s="85">
        <v>6.8563076337178499</v>
      </c>
      <c r="F7" s="153"/>
      <c r="G7" s="85">
        <v>41.706231594085601</v>
      </c>
      <c r="H7" s="86">
        <f t="shared" si="0"/>
        <v>1</v>
      </c>
      <c r="I7" s="190"/>
      <c r="J7" s="181"/>
      <c r="K7" s="204"/>
      <c r="L7" s="207"/>
      <c r="M7" s="210"/>
      <c r="N7" s="198"/>
      <c r="O7" s="198"/>
      <c r="P7" s="196"/>
      <c r="R7" s="178"/>
      <c r="S7" s="162"/>
      <c r="T7" s="56"/>
      <c r="U7" s="159"/>
      <c r="V7" s="56"/>
      <c r="W7" s="159"/>
      <c r="X7" s="56"/>
      <c r="Y7" s="159"/>
      <c r="Z7" s="56"/>
      <c r="AA7" s="159"/>
      <c r="AB7" s="28"/>
      <c r="AC7" s="156"/>
      <c r="AD7" s="61"/>
      <c r="AE7" s="156"/>
      <c r="AF7" s="28"/>
      <c r="AG7" s="156"/>
      <c r="AH7" s="61"/>
      <c r="AI7" s="156"/>
      <c r="AK7" s="75">
        <v>1198.1934999771199</v>
      </c>
      <c r="AL7" s="134">
        <v>-1123.31679657216</v>
      </c>
    </row>
    <row r="8" spans="1:38" x14ac:dyDescent="0.25">
      <c r="A8" s="163"/>
      <c r="B8" s="163"/>
      <c r="C8" s="194" t="s">
        <v>22</v>
      </c>
      <c r="D8" s="78">
        <v>1090.12505169726</v>
      </c>
      <c r="E8" s="79">
        <v>6.6216271519660896</v>
      </c>
      <c r="F8" s="151">
        <f t="shared" ref="F8" si="1">AVERAGE(E8:E12)</f>
        <v>6.4690570959066704</v>
      </c>
      <c r="G8" s="79">
        <v>105.993825435638</v>
      </c>
      <c r="H8" s="80">
        <f t="shared" si="0"/>
        <v>0.58866903677137472</v>
      </c>
      <c r="I8" s="191">
        <f>AVERAGE(D8:D12)</f>
        <v>1318.9508397242359</v>
      </c>
      <c r="J8" s="179">
        <f>AVERAGE(H8:H12)</f>
        <v>0.75320142206282481</v>
      </c>
      <c r="K8" s="202">
        <f>MAX(D8:D12)</f>
        <v>1662.1895217647</v>
      </c>
      <c r="L8" s="205">
        <f>MIN(D8:D12)</f>
        <v>1090.12505169726</v>
      </c>
      <c r="M8" s="211">
        <v>1662.1</v>
      </c>
      <c r="N8" s="199">
        <v>3.0000000000000001E-6</v>
      </c>
      <c r="O8" s="199">
        <v>4.66</v>
      </c>
      <c r="P8" s="196">
        <f>M8/I8</f>
        <v>1.2601682715843368</v>
      </c>
      <c r="R8" s="176">
        <v>365.62600931094602</v>
      </c>
      <c r="S8" s="161">
        <f>(R8-AL8)/(AK8-AL8)</f>
        <v>6.7733190278675609E-2</v>
      </c>
      <c r="T8" s="52">
        <v>736.42112972035295</v>
      </c>
      <c r="U8" s="157">
        <f>(T8-AL8)/(AK8-AL8)</f>
        <v>0.33434564747339551</v>
      </c>
      <c r="V8" s="52">
        <v>1058.1319269264</v>
      </c>
      <c r="W8" s="157">
        <f>(V8-AL8)/(AK8-AL8)</f>
        <v>0.56566505117663901</v>
      </c>
      <c r="X8" s="59">
        <v>1198.6397444669401</v>
      </c>
      <c r="Y8" s="157">
        <f>(X8-AL8)/(AK8-AL8)</f>
        <v>0.66669425147514549</v>
      </c>
      <c r="Z8" s="52">
        <v>271.42509796061103</v>
      </c>
      <c r="AA8" s="157">
        <f>(Z8-AL8)/(AK8-AL8)</f>
        <v>0</v>
      </c>
      <c r="AB8" s="30">
        <v>1083.8876291691799</v>
      </c>
      <c r="AC8" s="154">
        <f>(AB8-AL8)/(AK8-AL8)</f>
        <v>0.58418414887711922</v>
      </c>
      <c r="AD8" s="135">
        <v>1165.3916795330999</v>
      </c>
      <c r="AE8" s="154">
        <f>(AD8-AL8)/(AK8-AL8)</f>
        <v>0.64278792746744728</v>
      </c>
      <c r="AF8" s="30">
        <v>492.92558566206202</v>
      </c>
      <c r="AG8" s="154">
        <f>(AF8-AL8)/(AK8-AL8)</f>
        <v>0.15926528167552037</v>
      </c>
      <c r="AH8" s="60">
        <v>487.10498968381398</v>
      </c>
      <c r="AI8" s="154">
        <f>(AH8-AL8)/(AK8-AL8)</f>
        <v>0.15508010417268545</v>
      </c>
      <c r="AK8" s="75">
        <f>MAX(D8:D12,R8,T8,V8,X8,Z8,AB8,AD8,AF8,AH8)</f>
        <v>1662.1895217647</v>
      </c>
      <c r="AL8" s="134">
        <f>MIN(D8:D12,R8,T8,V8,X8,Z8,AB8,AD8,AF8,AH8)</f>
        <v>271.42509796061103</v>
      </c>
    </row>
    <row r="9" spans="1:38" x14ac:dyDescent="0.25">
      <c r="A9" s="163"/>
      <c r="B9" s="163"/>
      <c r="C9" s="183"/>
      <c r="D9" s="81">
        <v>1662.1895217647</v>
      </c>
      <c r="E9" s="82">
        <v>5.5372994899749699</v>
      </c>
      <c r="F9" s="152"/>
      <c r="G9" s="82">
        <v>138.50217890739401</v>
      </c>
      <c r="H9" s="83">
        <f t="shared" si="0"/>
        <v>1</v>
      </c>
      <c r="I9" s="192"/>
      <c r="J9" s="180"/>
      <c r="K9" s="203"/>
      <c r="L9" s="206"/>
      <c r="M9" s="210"/>
      <c r="N9" s="198"/>
      <c r="O9" s="198"/>
      <c r="P9" s="196"/>
      <c r="R9" s="177"/>
      <c r="S9" s="160"/>
      <c r="T9" s="54"/>
      <c r="U9" s="158"/>
      <c r="V9" s="54"/>
      <c r="W9" s="158"/>
      <c r="X9" s="54"/>
      <c r="Y9" s="158"/>
      <c r="Z9" s="54"/>
      <c r="AA9" s="158"/>
      <c r="AB9" s="27"/>
      <c r="AC9" s="155"/>
      <c r="AD9" s="31"/>
      <c r="AE9" s="155"/>
      <c r="AF9" s="27"/>
      <c r="AG9" s="155"/>
      <c r="AH9" s="31"/>
      <c r="AI9" s="155"/>
      <c r="AK9" s="75">
        <v>1662.1895217647</v>
      </c>
      <c r="AL9" s="134">
        <v>271.42509796061103</v>
      </c>
    </row>
    <row r="10" spans="1:38" x14ac:dyDescent="0.25">
      <c r="A10" s="163"/>
      <c r="B10" s="163"/>
      <c r="C10" s="183"/>
      <c r="D10" s="81">
        <v>1090.12505169726</v>
      </c>
      <c r="E10" s="82">
        <v>7.11508235931396</v>
      </c>
      <c r="F10" s="152"/>
      <c r="G10" s="82">
        <v>106.77005171775799</v>
      </c>
      <c r="H10" s="83">
        <f t="shared" si="0"/>
        <v>0.58866903677137472</v>
      </c>
      <c r="I10" s="192"/>
      <c r="J10" s="180"/>
      <c r="K10" s="203"/>
      <c r="L10" s="206"/>
      <c r="M10" s="210"/>
      <c r="N10" s="198"/>
      <c r="O10" s="198"/>
      <c r="P10" s="196"/>
      <c r="R10" s="177"/>
      <c r="S10" s="160"/>
      <c r="T10" s="54"/>
      <c r="U10" s="158"/>
      <c r="V10" s="54"/>
      <c r="W10" s="158"/>
      <c r="X10" s="54"/>
      <c r="Y10" s="158"/>
      <c r="Z10" s="54"/>
      <c r="AA10" s="158"/>
      <c r="AB10" s="27"/>
      <c r="AC10" s="155"/>
      <c r="AD10" s="31"/>
      <c r="AE10" s="155"/>
      <c r="AF10" s="27"/>
      <c r="AG10" s="155"/>
      <c r="AH10" s="31"/>
      <c r="AI10" s="155"/>
      <c r="AK10" s="75">
        <v>1662.1895217647</v>
      </c>
      <c r="AL10" s="134">
        <v>271.42509796061103</v>
      </c>
    </row>
    <row r="11" spans="1:38" x14ac:dyDescent="0.25">
      <c r="A11" s="163"/>
      <c r="B11" s="163"/>
      <c r="C11" s="183"/>
      <c r="D11" s="81">
        <v>1662.1895217647</v>
      </c>
      <c r="E11" s="82">
        <v>5.9061472140825702</v>
      </c>
      <c r="F11" s="152"/>
      <c r="G11" s="82">
        <v>153.637489318847</v>
      </c>
      <c r="H11" s="83">
        <f t="shared" si="0"/>
        <v>1</v>
      </c>
      <c r="I11" s="192"/>
      <c r="J11" s="180"/>
      <c r="K11" s="203"/>
      <c r="L11" s="206"/>
      <c r="M11" s="210"/>
      <c r="N11" s="198"/>
      <c r="O11" s="198"/>
      <c r="P11" s="196"/>
      <c r="R11" s="177"/>
      <c r="S11" s="160"/>
      <c r="T11" s="54"/>
      <c r="U11" s="158"/>
      <c r="V11" s="54"/>
      <c r="W11" s="158"/>
      <c r="X11" s="54"/>
      <c r="Y11" s="158"/>
      <c r="Z11" s="54"/>
      <c r="AA11" s="158"/>
      <c r="AB11" s="27"/>
      <c r="AC11" s="155"/>
      <c r="AD11" s="31"/>
      <c r="AE11" s="155"/>
      <c r="AF11" s="27"/>
      <c r="AG11" s="155"/>
      <c r="AH11" s="31"/>
      <c r="AI11" s="155"/>
      <c r="AK11" s="75">
        <v>1662.1895217647</v>
      </c>
      <c r="AL11" s="134">
        <v>271.42509796061103</v>
      </c>
    </row>
    <row r="12" spans="1:38" ht="14.5" thickBot="1" x14ac:dyDescent="0.3">
      <c r="A12" s="163"/>
      <c r="B12" s="163"/>
      <c r="C12" s="183"/>
      <c r="D12" s="84">
        <v>1090.12505169726</v>
      </c>
      <c r="E12" s="85">
        <v>7.1651292641957598</v>
      </c>
      <c r="F12" s="153"/>
      <c r="G12" s="85">
        <v>107.524727344512</v>
      </c>
      <c r="H12" s="86">
        <f t="shared" si="0"/>
        <v>0.58866903677137472</v>
      </c>
      <c r="I12" s="193"/>
      <c r="J12" s="181"/>
      <c r="K12" s="204"/>
      <c r="L12" s="207"/>
      <c r="M12" s="209"/>
      <c r="N12" s="200"/>
      <c r="O12" s="200"/>
      <c r="P12" s="196"/>
      <c r="R12" s="178"/>
      <c r="S12" s="162"/>
      <c r="T12" s="56"/>
      <c r="U12" s="159"/>
      <c r="V12" s="56"/>
      <c r="W12" s="159"/>
      <c r="X12" s="56"/>
      <c r="Y12" s="159"/>
      <c r="Z12" s="56"/>
      <c r="AA12" s="159"/>
      <c r="AB12" s="28"/>
      <c r="AC12" s="156"/>
      <c r="AD12" s="61"/>
      <c r="AE12" s="156"/>
      <c r="AF12" s="28"/>
      <c r="AG12" s="156"/>
      <c r="AH12" s="61"/>
      <c r="AI12" s="156"/>
      <c r="AK12" s="75">
        <v>1662.1895217647</v>
      </c>
      <c r="AL12" s="134">
        <v>271.42509796061103</v>
      </c>
    </row>
    <row r="13" spans="1:38" x14ac:dyDescent="0.25">
      <c r="A13" s="163"/>
      <c r="B13" s="163"/>
      <c r="C13" s="194" t="s">
        <v>23</v>
      </c>
      <c r="D13" s="78">
        <v>2139.3091941213502</v>
      </c>
      <c r="E13" s="79">
        <v>6.1216242611408198</v>
      </c>
      <c r="F13" s="151">
        <f t="shared" ref="F13" si="2">AVERAGE(E13:E17)</f>
        <v>5.8116667882255815</v>
      </c>
      <c r="G13" s="79">
        <v>98.003736019134493</v>
      </c>
      <c r="H13" s="80">
        <f t="shared" si="0"/>
        <v>0.90691514271434703</v>
      </c>
      <c r="I13" s="191">
        <f>AVERAGE(D13:D17)</f>
        <v>2164.0885172999883</v>
      </c>
      <c r="J13" s="179">
        <f>AVERAGE(H13:H17)</f>
        <v>0.92553211417147752</v>
      </c>
      <c r="K13" s="229">
        <f>MAX(D13:D17)</f>
        <v>2263.20581001454</v>
      </c>
      <c r="L13" s="205">
        <f>MIN(D13:D17)</f>
        <v>2139.3091941213502</v>
      </c>
      <c r="M13" s="210">
        <v>2482.14</v>
      </c>
      <c r="N13" s="198">
        <v>0</v>
      </c>
      <c r="O13" s="198">
        <v>96.21</v>
      </c>
      <c r="P13" s="196">
        <f>M13/I13</f>
        <v>1.1469678713035392</v>
      </c>
      <c r="R13" s="22">
        <v>1251.18606640655</v>
      </c>
      <c r="S13" s="160">
        <f>(R13-AL13)/(AK13-AL13)</f>
        <v>0.23965870476054829</v>
      </c>
      <c r="T13" s="54">
        <v>1164.9636544853599</v>
      </c>
      <c r="U13" s="158">
        <f>(T13-AL13)/(AK13-AL13)</f>
        <v>0.17487888127103587</v>
      </c>
      <c r="V13" s="58">
        <v>1786.3828047018201</v>
      </c>
      <c r="W13" s="158">
        <f>(V13-AL13)/(AK13-AL13)</f>
        <v>0.64175775843373661</v>
      </c>
      <c r="X13" s="54">
        <v>939.30479829003798</v>
      </c>
      <c r="Y13" s="55">
        <f>(X13-AL13)/(AK13-AL13)</f>
        <v>5.3389606464580028E-3</v>
      </c>
      <c r="Z13" s="54">
        <v>932.198603192664</v>
      </c>
      <c r="AA13" s="55">
        <f>(Z13-AL13)/(AK13-AL13)</f>
        <v>0</v>
      </c>
      <c r="AB13" s="27">
        <v>1616.6195396030801</v>
      </c>
      <c r="AC13" s="33">
        <f>(AB13-AL13)/(AK13-AL13)</f>
        <v>0.51421279531960462</v>
      </c>
      <c r="AD13" s="31">
        <v>1530.39712768189</v>
      </c>
      <c r="AE13" s="46">
        <f>(AD13-AL13)/(AK13-AL13)</f>
        <v>0.44943297183009223</v>
      </c>
      <c r="AF13" s="87">
        <v>2147.7819254945498</v>
      </c>
      <c r="AG13" s="33">
        <f>(AF13-AL13)/(AK13-AL13)</f>
        <v>0.91328079673167617</v>
      </c>
      <c r="AH13" s="31">
        <v>1354.8739347256101</v>
      </c>
      <c r="AI13" s="46">
        <f>(AH13-AL13)/(AK13-AL13)</f>
        <v>0.31756051309608813</v>
      </c>
      <c r="AK13" s="75">
        <f>MAX(D13:D17,R13,T13,V13,X13,Z13,AB13,AD13,AF13,AH13)</f>
        <v>2263.20581001454</v>
      </c>
      <c r="AL13" s="134">
        <f>MIN(D13:D17,R13,T13,V13,X13,Z13,AB13,AD13,AF13,AH13)</f>
        <v>932.198603192664</v>
      </c>
    </row>
    <row r="14" spans="1:38" x14ac:dyDescent="0.25">
      <c r="A14" s="163"/>
      <c r="B14" s="163"/>
      <c r="C14" s="183"/>
      <c r="D14" s="81">
        <v>2139.3091941213502</v>
      </c>
      <c r="E14" s="82">
        <v>4.9931966215371997</v>
      </c>
      <c r="F14" s="152"/>
      <c r="G14" s="82">
        <v>79.942918300628605</v>
      </c>
      <c r="H14" s="83">
        <f t="shared" si="0"/>
        <v>0.90691514271434703</v>
      </c>
      <c r="I14" s="192"/>
      <c r="J14" s="180"/>
      <c r="K14" s="230"/>
      <c r="L14" s="206"/>
      <c r="M14" s="210"/>
      <c r="N14" s="198"/>
      <c r="O14" s="198"/>
      <c r="P14" s="196"/>
      <c r="R14" s="22"/>
      <c r="S14" s="160"/>
      <c r="T14" s="54"/>
      <c r="U14" s="158"/>
      <c r="V14" s="54"/>
      <c r="W14" s="158"/>
      <c r="X14" s="54"/>
      <c r="Y14" s="55"/>
      <c r="Z14" s="54"/>
      <c r="AA14" s="55"/>
      <c r="AB14" s="27"/>
      <c r="AC14" s="33"/>
      <c r="AD14" s="31"/>
      <c r="AE14" s="46"/>
      <c r="AF14" s="27"/>
      <c r="AG14" s="33"/>
      <c r="AH14" s="31"/>
      <c r="AI14" s="46"/>
      <c r="AK14" s="75">
        <v>2263.20581001454</v>
      </c>
      <c r="AL14" s="134">
        <v>932.198603192664</v>
      </c>
    </row>
    <row r="15" spans="1:38" x14ac:dyDescent="0.25">
      <c r="A15" s="163"/>
      <c r="B15" s="163"/>
      <c r="C15" s="183"/>
      <c r="D15" s="81">
        <v>2139.3091941213502</v>
      </c>
      <c r="E15" s="82">
        <v>5.5511632710695196</v>
      </c>
      <c r="F15" s="152"/>
      <c r="G15" s="82">
        <v>88.866400003433199</v>
      </c>
      <c r="H15" s="83">
        <f t="shared" si="0"/>
        <v>0.90691514271434703</v>
      </c>
      <c r="I15" s="192"/>
      <c r="J15" s="180"/>
      <c r="K15" s="230"/>
      <c r="L15" s="206"/>
      <c r="M15" s="210"/>
      <c r="N15" s="198"/>
      <c r="O15" s="198"/>
      <c r="P15" s="196"/>
      <c r="R15" s="22"/>
      <c r="S15" s="160"/>
      <c r="T15" s="54"/>
      <c r="U15" s="158"/>
      <c r="V15" s="54"/>
      <c r="W15" s="158"/>
      <c r="X15" s="54"/>
      <c r="Y15" s="55"/>
      <c r="Z15" s="54"/>
      <c r="AA15" s="55"/>
      <c r="AB15" s="27"/>
      <c r="AC15" s="33"/>
      <c r="AD15" s="31"/>
      <c r="AE15" s="46"/>
      <c r="AF15" s="27"/>
      <c r="AG15" s="33"/>
      <c r="AH15" s="31"/>
      <c r="AI15" s="46"/>
      <c r="AK15" s="75">
        <v>2263.20581001454</v>
      </c>
      <c r="AL15" s="134">
        <v>932.198603192664</v>
      </c>
    </row>
    <row r="16" spans="1:38" x14ac:dyDescent="0.25">
      <c r="A16" s="163"/>
      <c r="B16" s="163"/>
      <c r="C16" s="183"/>
      <c r="D16" s="81">
        <v>2263.20581001454</v>
      </c>
      <c r="E16" s="82">
        <v>6.4536599594613699</v>
      </c>
      <c r="F16" s="152"/>
      <c r="G16" s="82">
        <v>148.535730600357</v>
      </c>
      <c r="H16" s="83">
        <f t="shared" si="0"/>
        <v>1</v>
      </c>
      <c r="I16" s="192"/>
      <c r="J16" s="180"/>
      <c r="K16" s="230"/>
      <c r="L16" s="206"/>
      <c r="M16" s="210"/>
      <c r="N16" s="198"/>
      <c r="O16" s="198"/>
      <c r="P16" s="196"/>
      <c r="R16" s="22"/>
      <c r="S16" s="160"/>
      <c r="T16" s="54"/>
      <c r="U16" s="158"/>
      <c r="V16" s="54"/>
      <c r="W16" s="158"/>
      <c r="X16" s="54"/>
      <c r="Y16" s="55"/>
      <c r="Z16" s="54"/>
      <c r="AA16" s="55"/>
      <c r="AB16" s="27"/>
      <c r="AC16" s="33"/>
      <c r="AD16" s="31"/>
      <c r="AE16" s="46"/>
      <c r="AF16" s="27"/>
      <c r="AG16" s="33"/>
      <c r="AH16" s="31"/>
      <c r="AI16" s="46"/>
      <c r="AK16" s="75">
        <v>2263.20581001454</v>
      </c>
      <c r="AL16" s="134">
        <v>932.198603192664</v>
      </c>
    </row>
    <row r="17" spans="1:38" ht="14.5" thickBot="1" x14ac:dyDescent="0.3">
      <c r="A17" s="163"/>
      <c r="B17" s="164"/>
      <c r="C17" s="183"/>
      <c r="D17" s="84">
        <v>2139.3091941213502</v>
      </c>
      <c r="E17" s="85">
        <v>5.9386898279190001</v>
      </c>
      <c r="F17" s="153"/>
      <c r="G17" s="85">
        <v>95.073316812515202</v>
      </c>
      <c r="H17" s="86">
        <f t="shared" si="0"/>
        <v>0.90691514271434703</v>
      </c>
      <c r="I17" s="193"/>
      <c r="J17" s="181"/>
      <c r="K17" s="231"/>
      <c r="L17" s="207"/>
      <c r="M17" s="210"/>
      <c r="N17" s="198"/>
      <c r="O17" s="198"/>
      <c r="P17" s="196"/>
      <c r="R17" s="22"/>
      <c r="S17" s="160"/>
      <c r="T17" s="54"/>
      <c r="U17" s="158"/>
      <c r="V17" s="54"/>
      <c r="W17" s="158"/>
      <c r="X17" s="54"/>
      <c r="Y17" s="55"/>
      <c r="Z17" s="54"/>
      <c r="AA17" s="55"/>
      <c r="AB17" s="27"/>
      <c r="AC17" s="33"/>
      <c r="AD17" s="31"/>
      <c r="AE17" s="46"/>
      <c r="AF17" s="27"/>
      <c r="AG17" s="33"/>
      <c r="AH17" s="31"/>
      <c r="AI17" s="46"/>
      <c r="AK17" s="75">
        <v>2263.20581001454</v>
      </c>
      <c r="AL17" s="134">
        <v>932.198603192664</v>
      </c>
    </row>
    <row r="18" spans="1:38" x14ac:dyDescent="0.25">
      <c r="A18" s="163"/>
      <c r="B18" s="182" t="s">
        <v>10</v>
      </c>
      <c r="C18" s="194" t="s">
        <v>21</v>
      </c>
      <c r="D18" s="78">
        <v>403.79159281814901</v>
      </c>
      <c r="E18" s="79">
        <v>4.1352142529054099</v>
      </c>
      <c r="F18" s="151">
        <f t="shared" ref="F18" si="3">AVERAGE(E18:E22)</f>
        <v>4.5722214709370643</v>
      </c>
      <c r="G18" s="79">
        <v>91.034458160400305</v>
      </c>
      <c r="H18" s="80">
        <f t="shared" si="0"/>
        <v>0.80854808200114681</v>
      </c>
      <c r="I18" s="226">
        <f>AVERAGE(D18:D22)</f>
        <v>507.99214472938399</v>
      </c>
      <c r="J18" s="179">
        <f>AVERAGE(H18:H22)</f>
        <v>0.86371846609217184</v>
      </c>
      <c r="K18" s="202">
        <f>MAX(D18:D22)</f>
        <v>765.38768914096397</v>
      </c>
      <c r="L18" s="205">
        <f>MIN(D18:D22)</f>
        <v>403.79159281814901</v>
      </c>
      <c r="M18" s="211">
        <v>765.38</v>
      </c>
      <c r="N18" s="199">
        <v>0</v>
      </c>
      <c r="O18" s="199">
        <v>0.8</v>
      </c>
      <c r="P18" s="195">
        <f>M18/I18</f>
        <v>1.5066768412486593</v>
      </c>
      <c r="R18" s="21">
        <v>-334.51704466254898</v>
      </c>
      <c r="S18" s="161">
        <f>(R18-AL18)/(AK18-AL18)</f>
        <v>0.41764064091359504</v>
      </c>
      <c r="T18" s="52">
        <v>-248.360004041704</v>
      </c>
      <c r="U18" s="157">
        <f>(T18-AL18)/(AK18-AL18)</f>
        <v>0.46325764520016788</v>
      </c>
      <c r="V18" s="59">
        <v>121.898828112015</v>
      </c>
      <c r="W18" s="157">
        <f>(V18-AL18)/(AK18-AL18)</f>
        <v>0.65929616523043044</v>
      </c>
      <c r="X18" s="59">
        <v>121.898828112015</v>
      </c>
      <c r="Y18" s="53">
        <f>(X18-AL18)/(AK18-AL18)</f>
        <v>0.65929616523043044</v>
      </c>
      <c r="Z18" s="52">
        <v>109.858688511854</v>
      </c>
      <c r="AA18" s="53">
        <f>(Z18-AL18)/(AK18-AL18)</f>
        <v>0.65292135133485441</v>
      </c>
      <c r="AB18" s="51">
        <v>765.38768914096397</v>
      </c>
      <c r="AC18" s="44">
        <f>(AB18-AL18)/(AK18-AL18)</f>
        <v>1</v>
      </c>
      <c r="AD18" s="60">
        <v>-182.16991909437399</v>
      </c>
      <c r="AE18" s="45">
        <f>(AD18-AL18)/(AK18-AL18)</f>
        <v>0.49830287617622415</v>
      </c>
      <c r="AF18" s="30">
        <v>-1123.31679657216</v>
      </c>
      <c r="AG18" s="44">
        <f>(AF18-AL18)/(AK18-AL18)</f>
        <v>0</v>
      </c>
      <c r="AH18" s="60">
        <v>-1123.31679657216</v>
      </c>
      <c r="AI18" s="45">
        <f>(AH18-AL18)/(AK18-AL18)</f>
        <v>0</v>
      </c>
      <c r="AK18" s="75">
        <f>MAX(D18:D22,R18,T18,V18,X18,Z18,AB18,AD18,AF18,AH18)</f>
        <v>765.38768914096397</v>
      </c>
      <c r="AL18" s="134">
        <f>MIN(D18:D22,R18,T18,V18,X18,Z18,AB18,AD18,AF18,AH18)</f>
        <v>-1123.31679657216</v>
      </c>
    </row>
    <row r="19" spans="1:38" x14ac:dyDescent="0.25">
      <c r="A19" s="163"/>
      <c r="B19" s="163"/>
      <c r="C19" s="183"/>
      <c r="D19" s="81">
        <v>483.49492443482899</v>
      </c>
      <c r="E19" s="82">
        <v>5.7190404505956698</v>
      </c>
      <c r="F19" s="152"/>
      <c r="G19" s="82">
        <v>120.18248796463</v>
      </c>
      <c r="H19" s="83">
        <f t="shared" si="0"/>
        <v>0.85074808322928297</v>
      </c>
      <c r="I19" s="227"/>
      <c r="J19" s="180"/>
      <c r="K19" s="203"/>
      <c r="L19" s="206"/>
      <c r="M19" s="210"/>
      <c r="N19" s="198"/>
      <c r="O19" s="198"/>
      <c r="P19" s="196"/>
      <c r="R19" s="22"/>
      <c r="S19" s="160"/>
      <c r="T19" s="54"/>
      <c r="U19" s="158"/>
      <c r="V19" s="54"/>
      <c r="W19" s="158"/>
      <c r="X19" s="54"/>
      <c r="Y19" s="55"/>
      <c r="Z19" s="54"/>
      <c r="AA19" s="55"/>
      <c r="AB19" s="27"/>
      <c r="AC19" s="33"/>
      <c r="AD19" s="31"/>
      <c r="AE19" s="46"/>
      <c r="AF19" s="27"/>
      <c r="AG19" s="33"/>
      <c r="AH19" s="31"/>
      <c r="AI19" s="46"/>
      <c r="AK19" s="75">
        <v>765.38768914096397</v>
      </c>
      <c r="AL19" s="134">
        <v>-1123.31679657216</v>
      </c>
    </row>
    <row r="20" spans="1:38" x14ac:dyDescent="0.25">
      <c r="A20" s="163"/>
      <c r="B20" s="163"/>
      <c r="C20" s="183"/>
      <c r="D20" s="81">
        <v>403.79159281814901</v>
      </c>
      <c r="E20" s="82">
        <v>3.8666539842432099</v>
      </c>
      <c r="F20" s="152"/>
      <c r="G20" s="82">
        <v>85.130105733871403</v>
      </c>
      <c r="H20" s="83">
        <f t="shared" si="0"/>
        <v>0.80854808200114681</v>
      </c>
      <c r="I20" s="227"/>
      <c r="J20" s="180"/>
      <c r="K20" s="203"/>
      <c r="L20" s="206"/>
      <c r="M20" s="210"/>
      <c r="N20" s="198"/>
      <c r="O20" s="198"/>
      <c r="P20" s="196"/>
      <c r="R20" s="22"/>
      <c r="S20" s="160"/>
      <c r="T20" s="54"/>
      <c r="U20" s="158"/>
      <c r="V20" s="54"/>
      <c r="W20" s="158"/>
      <c r="X20" s="54"/>
      <c r="Y20" s="55"/>
      <c r="Z20" s="54"/>
      <c r="AA20" s="55"/>
      <c r="AB20" s="27"/>
      <c r="AC20" s="33"/>
      <c r="AD20" s="31"/>
      <c r="AE20" s="46"/>
      <c r="AF20" s="27"/>
      <c r="AG20" s="33"/>
      <c r="AH20" s="31"/>
      <c r="AI20" s="46"/>
      <c r="AK20" s="75">
        <v>765.38768914096397</v>
      </c>
      <c r="AL20" s="134">
        <v>-1123.31679657216</v>
      </c>
    </row>
    <row r="21" spans="1:38" x14ac:dyDescent="0.25">
      <c r="A21" s="163"/>
      <c r="B21" s="163"/>
      <c r="C21" s="183"/>
      <c r="D21" s="81">
        <v>765.38768914096397</v>
      </c>
      <c r="E21" s="82">
        <v>4.3148212134838104</v>
      </c>
      <c r="F21" s="152"/>
      <c r="G21" s="82">
        <v>103.64132642745901</v>
      </c>
      <c r="H21" s="83">
        <f t="shared" si="0"/>
        <v>1</v>
      </c>
      <c r="I21" s="227"/>
      <c r="J21" s="180"/>
      <c r="K21" s="203"/>
      <c r="L21" s="206"/>
      <c r="M21" s="210"/>
      <c r="N21" s="198"/>
      <c r="O21" s="198"/>
      <c r="P21" s="196"/>
      <c r="R21" s="22"/>
      <c r="S21" s="160"/>
      <c r="T21" s="54"/>
      <c r="U21" s="158"/>
      <c r="V21" s="54"/>
      <c r="W21" s="158"/>
      <c r="X21" s="54"/>
      <c r="Y21" s="55"/>
      <c r="Z21" s="54"/>
      <c r="AA21" s="55"/>
      <c r="AB21" s="27"/>
      <c r="AC21" s="33"/>
      <c r="AD21" s="31"/>
      <c r="AE21" s="46"/>
      <c r="AF21" s="27"/>
      <c r="AG21" s="33"/>
      <c r="AH21" s="31"/>
      <c r="AI21" s="46"/>
      <c r="AK21" s="75">
        <v>765.38768914096397</v>
      </c>
      <c r="AL21" s="134">
        <v>-1123.31679657216</v>
      </c>
    </row>
    <row r="22" spans="1:38" ht="14.5" thickBot="1" x14ac:dyDescent="0.3">
      <c r="A22" s="163"/>
      <c r="B22" s="163"/>
      <c r="C22" s="183"/>
      <c r="D22" s="84">
        <v>483.49492443482899</v>
      </c>
      <c r="E22" s="85">
        <v>4.8253774534572198</v>
      </c>
      <c r="F22" s="153"/>
      <c r="G22" s="85">
        <v>106.23365783691401</v>
      </c>
      <c r="H22" s="86">
        <f t="shared" si="0"/>
        <v>0.85074808322928297</v>
      </c>
      <c r="I22" s="228"/>
      <c r="J22" s="181"/>
      <c r="K22" s="204"/>
      <c r="L22" s="207"/>
      <c r="M22" s="209"/>
      <c r="N22" s="200"/>
      <c r="O22" s="200"/>
      <c r="P22" s="197"/>
      <c r="R22" s="47"/>
      <c r="S22" s="162"/>
      <c r="T22" s="56"/>
      <c r="U22" s="159"/>
      <c r="V22" s="56"/>
      <c r="W22" s="159"/>
      <c r="X22" s="56"/>
      <c r="Y22" s="57"/>
      <c r="Z22" s="56"/>
      <c r="AA22" s="57"/>
      <c r="AB22" s="28"/>
      <c r="AC22" s="49"/>
      <c r="AD22" s="61"/>
      <c r="AE22" s="50"/>
      <c r="AF22" s="28"/>
      <c r="AG22" s="49"/>
      <c r="AH22" s="61"/>
      <c r="AI22" s="50"/>
      <c r="AK22" s="75">
        <v>765.38768914096397</v>
      </c>
      <c r="AL22" s="134">
        <v>-1123.31679657216</v>
      </c>
    </row>
    <row r="23" spans="1:38" x14ac:dyDescent="0.25">
      <c r="A23" s="163"/>
      <c r="B23" s="163"/>
      <c r="C23" s="194" t="s">
        <v>22</v>
      </c>
      <c r="D23" s="78">
        <v>1182.1326550495501</v>
      </c>
      <c r="E23" s="79">
        <v>4.3067315717538097</v>
      </c>
      <c r="F23" s="151">
        <f t="shared" ref="F23" si="4">AVERAGE(E23:E27)</f>
        <v>5.7918576144951306</v>
      </c>
      <c r="G23" s="79">
        <v>103.442203283309</v>
      </c>
      <c r="H23" s="80">
        <f t="shared" si="0"/>
        <v>1</v>
      </c>
      <c r="I23" s="188">
        <f>AVERAGE(D23:D27)</f>
        <v>1052.9652741884697</v>
      </c>
      <c r="J23" s="179">
        <f>AVERAGE(H23:H27)</f>
        <v>0.9340104762213437</v>
      </c>
      <c r="K23" s="229">
        <f>MAX(D23:D27)</f>
        <v>1182.1326550495501</v>
      </c>
      <c r="L23" s="205">
        <f>MIN(D23:D27)</f>
        <v>859.21420289684897</v>
      </c>
      <c r="M23" s="210">
        <v>1220.05</v>
      </c>
      <c r="N23" s="198">
        <v>0</v>
      </c>
      <c r="O23" s="198">
        <v>1.1299999999999999</v>
      </c>
      <c r="P23" s="196">
        <f>M23/I23</f>
        <v>1.158680186239099</v>
      </c>
      <c r="R23" s="22">
        <v>-440.71423849104002</v>
      </c>
      <c r="S23" s="160">
        <f>(R23-AL23)/(AK23-AL23)</f>
        <v>0.17091379451603569</v>
      </c>
      <c r="T23" s="54">
        <v>493.52203641323598</v>
      </c>
      <c r="U23" s="158">
        <f>(T23-AL23)/(AK23-AL23)</f>
        <v>0.64819998292287007</v>
      </c>
      <c r="V23" s="54">
        <v>252.74271024137701</v>
      </c>
      <c r="W23" s="158">
        <f>(V23-AL23)/(AK23-AL23)</f>
        <v>0.52518972318155621</v>
      </c>
      <c r="X23" s="58">
        <v>846.86397515199201</v>
      </c>
      <c r="Y23" s="157">
        <f>(X23-AL23)/(AK23-AL23)</f>
        <v>0.82871665913754811</v>
      </c>
      <c r="Z23" s="54">
        <v>329.493794890034</v>
      </c>
      <c r="AA23" s="157">
        <f>(Z23-AL23)/(AK23-AL23)</f>
        <v>0.56440060979779394</v>
      </c>
      <c r="AB23" s="29">
        <v>859.21420289684897</v>
      </c>
      <c r="AC23" s="154">
        <f>(AB23-AL23)/(AK23-AL23)</f>
        <v>0.83502619055335947</v>
      </c>
      <c r="AD23" s="31">
        <v>493.28175769128001</v>
      </c>
      <c r="AE23" s="154">
        <f>(AD23-AL23)/(AK23-AL23)</f>
        <v>0.64807722841371829</v>
      </c>
      <c r="AF23" s="27">
        <v>480.53975367638901</v>
      </c>
      <c r="AG23" s="154">
        <f>(AF23-AL23)/(AK23-AL23)</f>
        <v>0.64156754484405065</v>
      </c>
      <c r="AH23" s="31">
        <v>-775.25957124286799</v>
      </c>
      <c r="AI23" s="154">
        <f>(AH23-AL23)/(AK23-AL23)</f>
        <v>0</v>
      </c>
      <c r="AK23" s="75">
        <f>MAX(D23:D27,R23,T23,V23,X23,Z23,AB23,AD23,AF23,AH23)</f>
        <v>1182.1326550495501</v>
      </c>
      <c r="AL23" s="134">
        <f>MIN(D23:D27,R23,T23,V23,X23,Z23,AB23,AD23,AF23,AH23)</f>
        <v>-775.25957124286799</v>
      </c>
    </row>
    <row r="24" spans="1:38" x14ac:dyDescent="0.25">
      <c r="A24" s="163"/>
      <c r="B24" s="163"/>
      <c r="C24" s="183"/>
      <c r="D24" s="81">
        <v>859.21420289684897</v>
      </c>
      <c r="E24" s="82">
        <v>4.7772085517644802</v>
      </c>
      <c r="F24" s="152"/>
      <c r="G24" s="82">
        <v>76.485124349594102</v>
      </c>
      <c r="H24" s="83">
        <f t="shared" si="0"/>
        <v>0.83502619055335947</v>
      </c>
      <c r="I24" s="189"/>
      <c r="J24" s="180"/>
      <c r="K24" s="230"/>
      <c r="L24" s="206"/>
      <c r="M24" s="210"/>
      <c r="N24" s="198"/>
      <c r="O24" s="198"/>
      <c r="P24" s="196"/>
      <c r="R24" s="22"/>
      <c r="S24" s="160"/>
      <c r="T24" s="54"/>
      <c r="U24" s="158"/>
      <c r="V24" s="54"/>
      <c r="W24" s="158"/>
      <c r="X24" s="54"/>
      <c r="Y24" s="158"/>
      <c r="Z24" s="54"/>
      <c r="AA24" s="158"/>
      <c r="AB24" s="27"/>
      <c r="AC24" s="155"/>
      <c r="AD24" s="31"/>
      <c r="AE24" s="155"/>
      <c r="AF24" s="27"/>
      <c r="AG24" s="155"/>
      <c r="AH24" s="31"/>
      <c r="AI24" s="155"/>
      <c r="AK24" s="75">
        <v>1182.1326550495501</v>
      </c>
      <c r="AL24" s="134">
        <v>-775.25957124286799</v>
      </c>
    </row>
    <row r="25" spans="1:38" x14ac:dyDescent="0.25">
      <c r="A25" s="163"/>
      <c r="B25" s="163"/>
      <c r="C25" s="183"/>
      <c r="D25" s="81">
        <v>859.21420289684897</v>
      </c>
      <c r="E25" s="82">
        <v>5.9923770030339503</v>
      </c>
      <c r="F25" s="152"/>
      <c r="G25" s="82">
        <v>107.929494857788</v>
      </c>
      <c r="H25" s="83">
        <f t="shared" si="0"/>
        <v>0.83502619055335947</v>
      </c>
      <c r="I25" s="189"/>
      <c r="J25" s="180"/>
      <c r="K25" s="230"/>
      <c r="L25" s="206"/>
      <c r="M25" s="210"/>
      <c r="N25" s="198"/>
      <c r="O25" s="198"/>
      <c r="P25" s="196"/>
      <c r="R25" s="22"/>
      <c r="S25" s="160"/>
      <c r="T25" s="54"/>
      <c r="U25" s="158"/>
      <c r="V25" s="54"/>
      <c r="W25" s="158"/>
      <c r="X25" s="54"/>
      <c r="Y25" s="158"/>
      <c r="Z25" s="54"/>
      <c r="AA25" s="158"/>
      <c r="AB25" s="27"/>
      <c r="AC25" s="155"/>
      <c r="AD25" s="31"/>
      <c r="AE25" s="155"/>
      <c r="AF25" s="27"/>
      <c r="AG25" s="155"/>
      <c r="AH25" s="31"/>
      <c r="AI25" s="155"/>
      <c r="AK25" s="75">
        <v>1182.1326550495501</v>
      </c>
      <c r="AL25" s="134">
        <v>-775.25957124286799</v>
      </c>
    </row>
    <row r="26" spans="1:38" x14ac:dyDescent="0.25">
      <c r="A26" s="163"/>
      <c r="B26" s="163"/>
      <c r="C26" s="183"/>
      <c r="D26" s="81">
        <v>1182.1326550495501</v>
      </c>
      <c r="E26" s="82">
        <v>7.0174630165100096</v>
      </c>
      <c r="F26" s="152"/>
      <c r="G26" s="82">
        <v>175.54908251762299</v>
      </c>
      <c r="H26" s="83">
        <f t="shared" si="0"/>
        <v>1</v>
      </c>
      <c r="I26" s="189"/>
      <c r="J26" s="180"/>
      <c r="K26" s="230"/>
      <c r="L26" s="206"/>
      <c r="M26" s="210"/>
      <c r="N26" s="198"/>
      <c r="O26" s="198"/>
      <c r="P26" s="196"/>
      <c r="R26" s="22"/>
      <c r="S26" s="160"/>
      <c r="T26" s="54"/>
      <c r="U26" s="158"/>
      <c r="V26" s="54"/>
      <c r="W26" s="158"/>
      <c r="X26" s="54"/>
      <c r="Y26" s="158"/>
      <c r="Z26" s="54"/>
      <c r="AA26" s="158"/>
      <c r="AB26" s="27"/>
      <c r="AC26" s="155"/>
      <c r="AD26" s="31"/>
      <c r="AE26" s="155"/>
      <c r="AF26" s="27"/>
      <c r="AG26" s="155"/>
      <c r="AH26" s="31"/>
      <c r="AI26" s="155"/>
      <c r="AK26" s="75">
        <v>1182.1326550495501</v>
      </c>
      <c r="AL26" s="134">
        <v>-775.25957124286799</v>
      </c>
    </row>
    <row r="27" spans="1:38" ht="14.5" thickBot="1" x14ac:dyDescent="0.3">
      <c r="A27" s="163"/>
      <c r="B27" s="163"/>
      <c r="C27" s="183"/>
      <c r="D27" s="84">
        <v>1182.1326550495501</v>
      </c>
      <c r="E27" s="85">
        <v>6.8655079294133996</v>
      </c>
      <c r="F27" s="153"/>
      <c r="G27" s="85">
        <v>185.47126293182299</v>
      </c>
      <c r="H27" s="86">
        <f t="shared" si="0"/>
        <v>1</v>
      </c>
      <c r="I27" s="190"/>
      <c r="J27" s="181"/>
      <c r="K27" s="231"/>
      <c r="L27" s="207"/>
      <c r="M27" s="210"/>
      <c r="N27" s="198"/>
      <c r="O27" s="198"/>
      <c r="P27" s="196"/>
      <c r="R27" s="22"/>
      <c r="S27" s="160"/>
      <c r="T27" s="54"/>
      <c r="U27" s="158"/>
      <c r="V27" s="54"/>
      <c r="W27" s="158"/>
      <c r="X27" s="54"/>
      <c r="Y27" s="159"/>
      <c r="Z27" s="54"/>
      <c r="AA27" s="159"/>
      <c r="AB27" s="27"/>
      <c r="AC27" s="156"/>
      <c r="AD27" s="31"/>
      <c r="AE27" s="156"/>
      <c r="AF27" s="27"/>
      <c r="AG27" s="156"/>
      <c r="AH27" s="31"/>
      <c r="AI27" s="156"/>
      <c r="AK27" s="75">
        <v>1182.1326550495501</v>
      </c>
      <c r="AL27" s="134">
        <v>-775.25957124286799</v>
      </c>
    </row>
    <row r="28" spans="1:38" x14ac:dyDescent="0.25">
      <c r="A28" s="163"/>
      <c r="B28" s="163"/>
      <c r="C28" s="194" t="s">
        <v>23</v>
      </c>
      <c r="D28" s="78">
        <v>665.67035109955202</v>
      </c>
      <c r="E28" s="79">
        <v>6.4898949116468403</v>
      </c>
      <c r="F28" s="151">
        <f t="shared" ref="F28" si="5">AVERAGE(E28:E32)</f>
        <v>5.4612855911917126</v>
      </c>
      <c r="G28" s="79">
        <v>103.890095710754</v>
      </c>
      <c r="H28" s="80">
        <f t="shared" si="0"/>
        <v>0.90062828646784587</v>
      </c>
      <c r="I28" s="185">
        <f>AVERAGE(D28:D32)</f>
        <v>707.51142141628009</v>
      </c>
      <c r="J28" s="179">
        <f>AVERAGE(H28:H32)</f>
        <v>0.92050262917427672</v>
      </c>
      <c r="K28" s="229">
        <f>MAX(D28:D32)</f>
        <v>874.875702683192</v>
      </c>
      <c r="L28" s="205">
        <f>MIN(D28:D32)</f>
        <v>665.67035109955202</v>
      </c>
      <c r="M28" s="211">
        <v>1205.5899999999999</v>
      </c>
      <c r="N28" s="199">
        <v>5.0000000000000004E-6</v>
      </c>
      <c r="O28" s="199">
        <v>2.4</v>
      </c>
      <c r="P28" s="195">
        <f>M28/I28</f>
        <v>1.703986626232376</v>
      </c>
      <c r="R28" s="21">
        <v>-223.800822776742</v>
      </c>
      <c r="S28" s="160">
        <f>(R28-AL28)/(AK28-AL28)</f>
        <v>0.47813300125423425</v>
      </c>
      <c r="T28" s="52">
        <v>312.15789890975702</v>
      </c>
      <c r="U28" s="158">
        <f>(T28-AL28)/(AK28-AL28)</f>
        <v>0.73271127161553207</v>
      </c>
      <c r="V28" s="59">
        <v>633.67722632869504</v>
      </c>
      <c r="W28" s="158">
        <f>(V28-AL28)/(AK28-AL28)</f>
        <v>0.88543167889704477</v>
      </c>
      <c r="X28" s="140">
        <v>719.03317379128998</v>
      </c>
      <c r="Y28" s="157">
        <f>(X28-AL28)/(AK28-AL28)</f>
        <v>0.92597541592533728</v>
      </c>
      <c r="Z28" s="52">
        <v>271.42509796061103</v>
      </c>
      <c r="AA28" s="157">
        <f>(Z28-AL28)/(AK28-AL28)</f>
        <v>0.7133633524698666</v>
      </c>
      <c r="AB28" s="137">
        <v>763.62816117793295</v>
      </c>
      <c r="AC28" s="154">
        <f>(AB28-AL28)/(AK28-AL28)</f>
        <v>0.94715785833424393</v>
      </c>
      <c r="AD28" s="135">
        <v>375.97168075249101</v>
      </c>
      <c r="AE28" s="154">
        <f>(AD28-AL28)/(AK28-AL28)</f>
        <v>0.76302256528310497</v>
      </c>
      <c r="AF28" s="30">
        <v>157.433789190971</v>
      </c>
      <c r="AG28" s="154">
        <f>(AF28-AL28)/(AK28-AL28)</f>
        <v>0.65921793221906932</v>
      </c>
      <c r="AH28" s="60">
        <v>-1230.4050069620801</v>
      </c>
      <c r="AI28" s="154">
        <f>(AH28-AL28)/(AK28-AL28)</f>
        <v>0</v>
      </c>
      <c r="AK28" s="75">
        <f>MAX(D28:D32,R28,T28,V28,X28,Z28,AB28,AD28,AF28,AH28)</f>
        <v>874.875702683192</v>
      </c>
      <c r="AL28" s="134">
        <f>MIN(D28:D32,R28,T28,V28,X28,Z28,AB28,AD28,AF28,AH28)</f>
        <v>-1230.4050069620801</v>
      </c>
    </row>
    <row r="29" spans="1:38" x14ac:dyDescent="0.25">
      <c r="A29" s="163"/>
      <c r="B29" s="163"/>
      <c r="C29" s="183"/>
      <c r="D29" s="81">
        <v>665.67035109955202</v>
      </c>
      <c r="E29" s="82">
        <v>5.7988853851954101</v>
      </c>
      <c r="F29" s="152"/>
      <c r="G29" s="82">
        <v>104.43170952796901</v>
      </c>
      <c r="H29" s="83">
        <f t="shared" si="0"/>
        <v>0.90062828646784587</v>
      </c>
      <c r="I29" s="186"/>
      <c r="J29" s="180"/>
      <c r="K29" s="230"/>
      <c r="L29" s="206"/>
      <c r="M29" s="210"/>
      <c r="N29" s="198"/>
      <c r="O29" s="198"/>
      <c r="P29" s="196"/>
      <c r="R29" s="22"/>
      <c r="S29" s="160"/>
      <c r="T29" s="54"/>
      <c r="U29" s="158"/>
      <c r="V29" s="54"/>
      <c r="W29" s="158"/>
      <c r="X29" s="54"/>
      <c r="Y29" s="158"/>
      <c r="Z29" s="54"/>
      <c r="AA29" s="158"/>
      <c r="AB29" s="27"/>
      <c r="AC29" s="155"/>
      <c r="AD29" s="31"/>
      <c r="AE29" s="155"/>
      <c r="AF29" s="27"/>
      <c r="AG29" s="155"/>
      <c r="AH29" s="31"/>
      <c r="AI29" s="155"/>
      <c r="AK29" s="75">
        <v>874.875702683192</v>
      </c>
      <c r="AL29" s="134">
        <v>-1230.4050069620801</v>
      </c>
    </row>
    <row r="30" spans="1:38" x14ac:dyDescent="0.25">
      <c r="A30" s="163"/>
      <c r="B30" s="163"/>
      <c r="C30" s="183"/>
      <c r="D30" s="81">
        <v>665.67035109955202</v>
      </c>
      <c r="E30" s="82">
        <v>5.2077911429935</v>
      </c>
      <c r="F30" s="152"/>
      <c r="G30" s="82">
        <v>93.795996904373098</v>
      </c>
      <c r="H30" s="83">
        <f t="shared" si="0"/>
        <v>0.90062828646784587</v>
      </c>
      <c r="I30" s="186"/>
      <c r="J30" s="180"/>
      <c r="K30" s="230"/>
      <c r="L30" s="206"/>
      <c r="M30" s="210"/>
      <c r="N30" s="198"/>
      <c r="O30" s="198"/>
      <c r="P30" s="196"/>
      <c r="R30" s="22"/>
      <c r="S30" s="160"/>
      <c r="T30" s="54"/>
      <c r="U30" s="158"/>
      <c r="V30" s="54"/>
      <c r="W30" s="158"/>
      <c r="X30" s="54"/>
      <c r="Y30" s="158"/>
      <c r="Z30" s="54"/>
      <c r="AA30" s="158"/>
      <c r="AB30" s="27"/>
      <c r="AC30" s="155"/>
      <c r="AD30" s="31"/>
      <c r="AE30" s="155"/>
      <c r="AF30" s="27"/>
      <c r="AG30" s="155"/>
      <c r="AH30" s="31"/>
      <c r="AI30" s="155"/>
      <c r="AK30" s="75">
        <v>874.875702683192</v>
      </c>
      <c r="AL30" s="134">
        <v>-1230.4050069620801</v>
      </c>
    </row>
    <row r="31" spans="1:38" x14ac:dyDescent="0.25">
      <c r="A31" s="163"/>
      <c r="B31" s="163"/>
      <c r="C31" s="183"/>
      <c r="D31" s="81">
        <v>874.875702683192</v>
      </c>
      <c r="E31" s="82">
        <v>4.9782428264617904</v>
      </c>
      <c r="F31" s="152"/>
      <c r="G31" s="82">
        <v>124.52476978302001</v>
      </c>
      <c r="H31" s="83">
        <f t="shared" si="0"/>
        <v>1</v>
      </c>
      <c r="I31" s="186"/>
      <c r="J31" s="180"/>
      <c r="K31" s="230"/>
      <c r="L31" s="206"/>
      <c r="M31" s="210"/>
      <c r="N31" s="198"/>
      <c r="O31" s="198"/>
      <c r="P31" s="196"/>
      <c r="R31" s="22"/>
      <c r="S31" s="160"/>
      <c r="T31" s="54"/>
      <c r="U31" s="158"/>
      <c r="V31" s="54"/>
      <c r="W31" s="158"/>
      <c r="X31" s="54"/>
      <c r="Y31" s="158"/>
      <c r="Z31" s="54"/>
      <c r="AA31" s="158"/>
      <c r="AB31" s="27"/>
      <c r="AC31" s="155"/>
      <c r="AD31" s="31"/>
      <c r="AE31" s="155"/>
      <c r="AF31" s="27"/>
      <c r="AG31" s="155"/>
      <c r="AH31" s="31"/>
      <c r="AI31" s="155"/>
      <c r="AK31" s="75">
        <v>874.875702683192</v>
      </c>
      <c r="AL31" s="134">
        <v>-1230.4050069620801</v>
      </c>
    </row>
    <row r="32" spans="1:38" ht="14.5" thickBot="1" x14ac:dyDescent="0.3">
      <c r="A32" s="163"/>
      <c r="B32" s="164"/>
      <c r="C32" s="183"/>
      <c r="D32" s="84">
        <v>665.67035109955202</v>
      </c>
      <c r="E32" s="85">
        <v>4.8316136896610198</v>
      </c>
      <c r="F32" s="153"/>
      <c r="G32" s="85">
        <v>77.382475376129094</v>
      </c>
      <c r="H32" s="86">
        <f t="shared" si="0"/>
        <v>0.90062828646784587</v>
      </c>
      <c r="I32" s="187"/>
      <c r="J32" s="181"/>
      <c r="K32" s="231"/>
      <c r="L32" s="207"/>
      <c r="M32" s="209"/>
      <c r="N32" s="200"/>
      <c r="O32" s="200"/>
      <c r="P32" s="197"/>
      <c r="R32" s="47"/>
      <c r="S32" s="160"/>
      <c r="T32" s="56"/>
      <c r="U32" s="158"/>
      <c r="V32" s="56"/>
      <c r="W32" s="158"/>
      <c r="X32" s="56"/>
      <c r="Y32" s="159"/>
      <c r="Z32" s="56"/>
      <c r="AA32" s="159"/>
      <c r="AB32" s="28"/>
      <c r="AC32" s="156"/>
      <c r="AD32" s="61"/>
      <c r="AE32" s="156"/>
      <c r="AF32" s="28"/>
      <c r="AG32" s="156"/>
      <c r="AH32" s="61"/>
      <c r="AI32" s="156"/>
      <c r="AK32" s="75">
        <v>874.875702683192</v>
      </c>
      <c r="AL32" s="134">
        <v>-1230.4050069620801</v>
      </c>
    </row>
    <row r="33" spans="1:38" x14ac:dyDescent="0.25">
      <c r="A33" s="163"/>
      <c r="B33" s="182" t="s">
        <v>11</v>
      </c>
      <c r="C33" s="194" t="s">
        <v>21</v>
      </c>
      <c r="D33" s="78">
        <v>1213.4687651938</v>
      </c>
      <c r="E33" s="79">
        <v>8.9879025965928996</v>
      </c>
      <c r="F33" s="151">
        <f t="shared" ref="F33" si="6">AVERAGE(E33:E37)</f>
        <v>8.0978596944359005</v>
      </c>
      <c r="G33" s="79">
        <v>143.86418056488</v>
      </c>
      <c r="H33" s="80">
        <f t="shared" si="0"/>
        <v>1</v>
      </c>
      <c r="I33" s="188">
        <f>AVERAGE(D33:D37)</f>
        <v>990.77072652680295</v>
      </c>
      <c r="J33" s="179">
        <f>AVERAGE(H33:H37)</f>
        <v>0.79430498991076259</v>
      </c>
      <c r="K33" s="202">
        <f>MAX(D33:D37)</f>
        <v>1213.4687651938</v>
      </c>
      <c r="L33" s="205">
        <f>MIN(D33:D37)</f>
        <v>847.93363597590496</v>
      </c>
      <c r="M33" s="210">
        <v>1213.48</v>
      </c>
      <c r="N33" s="198">
        <v>0</v>
      </c>
      <c r="O33" s="198">
        <v>1.88</v>
      </c>
      <c r="P33" s="196">
        <f>M33/I33</f>
        <v>1.2247838652378393</v>
      </c>
      <c r="R33" s="22">
        <v>477.07283860060397</v>
      </c>
      <c r="S33" s="160">
        <f>(R33-AL33)/(AK33-AL33)</f>
        <v>0.31982801259978727</v>
      </c>
      <c r="T33" s="54">
        <v>534.78759423672795</v>
      </c>
      <c r="U33" s="158">
        <f>(T33-AL33)/(AK33-AL33)</f>
        <v>0.373136238006398</v>
      </c>
      <c r="V33" s="58">
        <v>847.93363597590496</v>
      </c>
      <c r="W33" s="158">
        <f>(V33-AL33)/(AK33-AL33)</f>
        <v>0.66237353259820919</v>
      </c>
      <c r="X33" s="54">
        <v>448.129789773754</v>
      </c>
      <c r="Y33" s="55">
        <f>(X33-AL33)/(AK33-AL33)</f>
        <v>0.29309476988203503</v>
      </c>
      <c r="Z33" s="54">
        <v>358.129789773754</v>
      </c>
      <c r="AA33" s="55">
        <f>(Z33-AL33)/(AK33-AL33)</f>
        <v>0.20996628335003914</v>
      </c>
      <c r="AB33" s="27">
        <v>610.35859382217495</v>
      </c>
      <c r="AC33" s="33">
        <f>(AB33-AL33)/(AK33-AL33)</f>
        <v>0.44293738046471243</v>
      </c>
      <c r="AD33" s="63">
        <v>852.21336856870403</v>
      </c>
      <c r="AE33" s="46">
        <f>(AD33-AL33)/(AK33-AL33)</f>
        <v>0.66632650696710971</v>
      </c>
      <c r="AF33" s="27">
        <v>130.807408603851</v>
      </c>
      <c r="AG33" s="33">
        <f>(AF33-AL33)/(AK33-AL33)</f>
        <v>0</v>
      </c>
      <c r="AH33" s="31">
        <v>443.95345034302898</v>
      </c>
      <c r="AI33" s="46">
        <f>(AH33-AL33)/(AK33-AL33)</f>
        <v>0.28923729459181208</v>
      </c>
      <c r="AK33" s="75">
        <f>MAX(D33:D37,R33,T33,V33,X33,Z33,AB33,AD33,AF33,AH33)</f>
        <v>1213.4687651938</v>
      </c>
      <c r="AL33" s="134">
        <f>MIN(D33:D37,R33,T33,V33,X33,Z33,AB33,AD33,AF33,AH33)</f>
        <v>130.807408603851</v>
      </c>
    </row>
    <row r="34" spans="1:38" x14ac:dyDescent="0.25">
      <c r="A34" s="163"/>
      <c r="B34" s="163"/>
      <c r="C34" s="183"/>
      <c r="D34" s="81">
        <v>847.93363597590496</v>
      </c>
      <c r="E34" s="82">
        <v>6.8154665323404098</v>
      </c>
      <c r="F34" s="152"/>
      <c r="G34" s="82">
        <v>88.659807205200195</v>
      </c>
      <c r="H34" s="83">
        <f t="shared" si="0"/>
        <v>0.66237353259820919</v>
      </c>
      <c r="I34" s="189"/>
      <c r="J34" s="180"/>
      <c r="K34" s="203"/>
      <c r="L34" s="206"/>
      <c r="M34" s="210"/>
      <c r="N34" s="198"/>
      <c r="O34" s="198"/>
      <c r="P34" s="196"/>
      <c r="R34" s="22"/>
      <c r="S34" s="160"/>
      <c r="T34" s="54"/>
      <c r="U34" s="158"/>
      <c r="V34" s="54"/>
      <c r="W34" s="158"/>
      <c r="X34" s="54"/>
      <c r="Y34" s="55"/>
      <c r="Z34" s="54"/>
      <c r="AA34" s="55"/>
      <c r="AB34" s="27"/>
      <c r="AC34" s="33"/>
      <c r="AD34" s="31"/>
      <c r="AE34" s="46"/>
      <c r="AF34" s="27"/>
      <c r="AG34" s="33"/>
      <c r="AH34" s="31"/>
      <c r="AI34" s="46"/>
      <c r="AK34" s="75">
        <v>1213.4687651938</v>
      </c>
      <c r="AL34" s="134">
        <v>130.807408603851</v>
      </c>
    </row>
    <row r="35" spans="1:38" x14ac:dyDescent="0.25">
      <c r="A35" s="163"/>
      <c r="B35" s="163"/>
      <c r="C35" s="183"/>
      <c r="D35" s="81">
        <v>847.93363597590496</v>
      </c>
      <c r="E35" s="82">
        <v>7.5895708600680001</v>
      </c>
      <c r="F35" s="152"/>
      <c r="G35" s="82">
        <v>91.133579730987506</v>
      </c>
      <c r="H35" s="83">
        <f t="shared" si="0"/>
        <v>0.66237353259820919</v>
      </c>
      <c r="I35" s="189"/>
      <c r="J35" s="180"/>
      <c r="K35" s="203"/>
      <c r="L35" s="206"/>
      <c r="M35" s="210"/>
      <c r="N35" s="198"/>
      <c r="O35" s="198"/>
      <c r="P35" s="196"/>
      <c r="R35" s="22"/>
      <c r="S35" s="160"/>
      <c r="T35" s="54"/>
      <c r="U35" s="158"/>
      <c r="V35" s="54"/>
      <c r="W35" s="158"/>
      <c r="X35" s="54"/>
      <c r="Y35" s="55"/>
      <c r="Z35" s="54"/>
      <c r="AA35" s="55"/>
      <c r="AB35" s="27"/>
      <c r="AC35" s="33"/>
      <c r="AD35" s="31"/>
      <c r="AE35" s="46"/>
      <c r="AF35" s="27"/>
      <c r="AG35" s="33"/>
      <c r="AH35" s="31"/>
      <c r="AI35" s="46"/>
      <c r="AK35" s="75">
        <v>1213.4687651938</v>
      </c>
      <c r="AL35" s="134">
        <v>130.807408603851</v>
      </c>
    </row>
    <row r="36" spans="1:38" x14ac:dyDescent="0.25">
      <c r="A36" s="163"/>
      <c r="B36" s="163"/>
      <c r="C36" s="183"/>
      <c r="D36" s="81">
        <v>847.93363597590496</v>
      </c>
      <c r="E36" s="82">
        <v>10.3151720932551</v>
      </c>
      <c r="F36" s="152"/>
      <c r="G36" s="82">
        <v>144.467169761657</v>
      </c>
      <c r="H36" s="83">
        <f t="shared" si="0"/>
        <v>0.66237353259820919</v>
      </c>
      <c r="I36" s="189"/>
      <c r="J36" s="180"/>
      <c r="K36" s="203"/>
      <c r="L36" s="206"/>
      <c r="M36" s="210"/>
      <c r="N36" s="198"/>
      <c r="O36" s="198"/>
      <c r="P36" s="196"/>
      <c r="R36" s="22"/>
      <c r="S36" s="160"/>
      <c r="T36" s="54"/>
      <c r="U36" s="158"/>
      <c r="V36" s="54"/>
      <c r="W36" s="158"/>
      <c r="X36" s="54"/>
      <c r="Y36" s="55"/>
      <c r="Z36" s="54"/>
      <c r="AA36" s="55"/>
      <c r="AB36" s="27"/>
      <c r="AC36" s="33"/>
      <c r="AD36" s="31"/>
      <c r="AE36" s="46"/>
      <c r="AF36" s="27"/>
      <c r="AG36" s="33"/>
      <c r="AH36" s="31"/>
      <c r="AI36" s="46"/>
      <c r="AK36" s="75">
        <v>1213.4687651938</v>
      </c>
      <c r="AL36" s="134">
        <v>130.807408603851</v>
      </c>
    </row>
    <row r="37" spans="1:38" ht="14.5" thickBot="1" x14ac:dyDescent="0.3">
      <c r="A37" s="163"/>
      <c r="B37" s="163"/>
      <c r="C37" s="183"/>
      <c r="D37" s="84">
        <v>1196.5839595125001</v>
      </c>
      <c r="E37" s="85">
        <v>6.7811863899230902</v>
      </c>
      <c r="F37" s="153"/>
      <c r="G37" s="85">
        <v>169.62026333808899</v>
      </c>
      <c r="H37" s="86">
        <f t="shared" si="0"/>
        <v>0.9844043517591855</v>
      </c>
      <c r="I37" s="190"/>
      <c r="J37" s="181"/>
      <c r="K37" s="204"/>
      <c r="L37" s="207"/>
      <c r="M37" s="210"/>
      <c r="N37" s="198"/>
      <c r="O37" s="198"/>
      <c r="P37" s="196"/>
      <c r="R37" s="22"/>
      <c r="S37" s="160"/>
      <c r="T37" s="54"/>
      <c r="U37" s="158"/>
      <c r="V37" s="54"/>
      <c r="W37" s="158"/>
      <c r="X37" s="54"/>
      <c r="Y37" s="55"/>
      <c r="Z37" s="54"/>
      <c r="AA37" s="55"/>
      <c r="AB37" s="27"/>
      <c r="AC37" s="33"/>
      <c r="AD37" s="31"/>
      <c r="AE37" s="46"/>
      <c r="AF37" s="27"/>
      <c r="AG37" s="33"/>
      <c r="AH37" s="31"/>
      <c r="AI37" s="46"/>
      <c r="AK37" s="75">
        <v>1213.4687651938</v>
      </c>
      <c r="AL37" s="134">
        <v>130.807408603851</v>
      </c>
    </row>
    <row r="38" spans="1:38" x14ac:dyDescent="0.25">
      <c r="A38" s="163"/>
      <c r="B38" s="163"/>
      <c r="C38" s="194" t="s">
        <v>22</v>
      </c>
      <c r="D38" s="78">
        <v>1602.8046787683299</v>
      </c>
      <c r="E38" s="79">
        <v>10.0724477052688</v>
      </c>
      <c r="F38" s="151">
        <f t="shared" ref="F38" si="7">AVERAGE(E38:E42)</f>
        <v>11.750516242655801</v>
      </c>
      <c r="G38" s="79">
        <v>100.77525496482799</v>
      </c>
      <c r="H38" s="80">
        <f t="shared" si="0"/>
        <v>0.79301136799018723</v>
      </c>
      <c r="I38" s="188">
        <f>AVERAGE(D38:D42)</f>
        <v>1821.0835168628641</v>
      </c>
      <c r="J38" s="179">
        <f>AVERAGE(H38:H42)</f>
        <v>0.9172045471960748</v>
      </c>
      <c r="K38" s="202">
        <f>MAX(D38:D42)</f>
        <v>1966.6027422592199</v>
      </c>
      <c r="L38" s="205">
        <f>MIN(D38:D42)</f>
        <v>1602.8046787683299</v>
      </c>
      <c r="M38" s="211">
        <v>1966.61</v>
      </c>
      <c r="N38" s="199">
        <v>0</v>
      </c>
      <c r="O38" s="199">
        <v>1.02</v>
      </c>
      <c r="P38" s="195">
        <f>M38/I38</f>
        <v>1.0799120313756014</v>
      </c>
      <c r="R38" s="21">
        <v>942.37535056250101</v>
      </c>
      <c r="S38" s="161">
        <f>(R38-AL38)/(AK38-AL38)</f>
        <v>0.41724971089739893</v>
      </c>
      <c r="T38" s="52">
        <v>942.37535056250101</v>
      </c>
      <c r="U38" s="157">
        <f>(T38-AL38)/(AK38-AL38)</f>
        <v>0.41724971089739893</v>
      </c>
      <c r="V38" s="59">
        <v>1287.7048700683599</v>
      </c>
      <c r="W38" s="157">
        <f>(V38-AL38)/(AK38-AL38)</f>
        <v>0.61373037423362264</v>
      </c>
      <c r="X38" s="52">
        <v>479.02765246567401</v>
      </c>
      <c r="Y38" s="53">
        <f>(X38-AL38)/(AK38-AL38)</f>
        <v>0.15362074802261544</v>
      </c>
      <c r="Z38" s="52">
        <v>209.02765246567401</v>
      </c>
      <c r="AA38" s="53">
        <f>(Z38-AL38)/(AK38-AL38)</f>
        <v>0</v>
      </c>
      <c r="AB38" s="30">
        <v>942.37535056250101</v>
      </c>
      <c r="AC38" s="44">
        <f>(AB38-AL38)/(AK38-AL38)</f>
        <v>0.41724971089739893</v>
      </c>
      <c r="AD38" s="60">
        <v>962.77070104569395</v>
      </c>
      <c r="AE38" s="45">
        <f>(AD38-AL38)/(AK38-AL38)</f>
        <v>0.42885396644336748</v>
      </c>
      <c r="AF38" s="26">
        <v>1025.3141035346</v>
      </c>
      <c r="AG38" s="44">
        <f>(AF38-AL38)/(AK38-AL38)</f>
        <v>0.46443901931086845</v>
      </c>
      <c r="AH38" s="60">
        <v>233.887519412388</v>
      </c>
      <c r="AI38" s="45">
        <f>(AH38-AL38)/(AK38-AL38)</f>
        <v>1.4144412429988505E-2</v>
      </c>
      <c r="AK38" s="75">
        <f>MAX(D38:D42,R38,T38,V38,X38,Z38,AB38,AD38,AF38,AH38)</f>
        <v>1966.6027422592199</v>
      </c>
      <c r="AL38" s="134">
        <f>MIN(D38:D42,R38,T38,V38,X38,Z38,AB38,AD38,AF38,AH38)</f>
        <v>209.02765246567401</v>
      </c>
    </row>
    <row r="39" spans="1:38" x14ac:dyDescent="0.25">
      <c r="A39" s="163"/>
      <c r="B39" s="163"/>
      <c r="C39" s="183"/>
      <c r="D39" s="81">
        <v>1966.6027422592199</v>
      </c>
      <c r="E39" s="82">
        <v>12.7140406478535</v>
      </c>
      <c r="F39" s="152"/>
      <c r="G39" s="82">
        <v>139.90721416473301</v>
      </c>
      <c r="H39" s="83">
        <f t="shared" si="0"/>
        <v>1</v>
      </c>
      <c r="I39" s="189"/>
      <c r="J39" s="180"/>
      <c r="K39" s="203"/>
      <c r="L39" s="206"/>
      <c r="M39" s="210"/>
      <c r="N39" s="198"/>
      <c r="O39" s="198"/>
      <c r="P39" s="196"/>
      <c r="R39" s="22"/>
      <c r="S39" s="160"/>
      <c r="T39" s="54"/>
      <c r="U39" s="158"/>
      <c r="V39" s="54"/>
      <c r="W39" s="158"/>
      <c r="X39" s="54"/>
      <c r="Y39" s="55"/>
      <c r="Z39" s="54"/>
      <c r="AA39" s="55"/>
      <c r="AB39" s="27"/>
      <c r="AC39" s="33"/>
      <c r="AD39" s="31"/>
      <c r="AE39" s="46"/>
      <c r="AF39" s="27"/>
      <c r="AG39" s="33"/>
      <c r="AH39" s="31"/>
      <c r="AI39" s="46"/>
      <c r="AK39" s="75">
        <v>1966.6027422592199</v>
      </c>
      <c r="AL39" s="134">
        <v>209.02765246567401</v>
      </c>
    </row>
    <row r="40" spans="1:38" x14ac:dyDescent="0.25">
      <c r="A40" s="163"/>
      <c r="B40" s="163"/>
      <c r="C40" s="183"/>
      <c r="D40" s="81">
        <v>1602.8046787683299</v>
      </c>
      <c r="E40" s="82">
        <v>11.502255171537399</v>
      </c>
      <c r="F40" s="152"/>
      <c r="G40" s="82">
        <v>92.0558757781982</v>
      </c>
      <c r="H40" s="83">
        <f t="shared" si="0"/>
        <v>0.79301136799018723</v>
      </c>
      <c r="I40" s="189"/>
      <c r="J40" s="180"/>
      <c r="K40" s="203"/>
      <c r="L40" s="206"/>
      <c r="M40" s="210"/>
      <c r="N40" s="198"/>
      <c r="O40" s="198"/>
      <c r="P40" s="196"/>
      <c r="R40" s="22"/>
      <c r="S40" s="160"/>
      <c r="T40" s="54"/>
      <c r="U40" s="158"/>
      <c r="V40" s="54"/>
      <c r="W40" s="158"/>
      <c r="X40" s="54"/>
      <c r="Y40" s="55"/>
      <c r="Z40" s="54"/>
      <c r="AA40" s="55"/>
      <c r="AB40" s="27"/>
      <c r="AC40" s="33"/>
      <c r="AD40" s="31"/>
      <c r="AE40" s="46"/>
      <c r="AF40" s="27"/>
      <c r="AG40" s="33"/>
      <c r="AH40" s="31"/>
      <c r="AI40" s="46"/>
      <c r="AK40" s="75">
        <v>1966.6027422592199</v>
      </c>
      <c r="AL40" s="134">
        <v>209.02765246567401</v>
      </c>
    </row>
    <row r="41" spans="1:38" x14ac:dyDescent="0.25">
      <c r="A41" s="163"/>
      <c r="B41" s="163"/>
      <c r="C41" s="183"/>
      <c r="D41" s="81">
        <v>1966.6027422592199</v>
      </c>
      <c r="E41" s="82">
        <v>12.082515391436401</v>
      </c>
      <c r="F41" s="152"/>
      <c r="G41" s="82">
        <v>132.95149874687101</v>
      </c>
      <c r="H41" s="83">
        <f t="shared" si="0"/>
        <v>1</v>
      </c>
      <c r="I41" s="189"/>
      <c r="J41" s="180"/>
      <c r="K41" s="203"/>
      <c r="L41" s="206"/>
      <c r="M41" s="210"/>
      <c r="N41" s="198"/>
      <c r="O41" s="198"/>
      <c r="P41" s="196"/>
      <c r="R41" s="22"/>
      <c r="S41" s="160"/>
      <c r="T41" s="54"/>
      <c r="U41" s="158"/>
      <c r="V41" s="54"/>
      <c r="W41" s="158"/>
      <c r="X41" s="54"/>
      <c r="Y41" s="55"/>
      <c r="Z41" s="54"/>
      <c r="AA41" s="55"/>
      <c r="AB41" s="27"/>
      <c r="AC41" s="33"/>
      <c r="AD41" s="31"/>
      <c r="AE41" s="46"/>
      <c r="AF41" s="27"/>
      <c r="AG41" s="33"/>
      <c r="AH41" s="31"/>
      <c r="AI41" s="46"/>
      <c r="AK41" s="75">
        <v>1966.6027422592199</v>
      </c>
      <c r="AL41" s="134">
        <v>209.02765246567401</v>
      </c>
    </row>
    <row r="42" spans="1:38" ht="14.5" thickBot="1" x14ac:dyDescent="0.3">
      <c r="A42" s="163"/>
      <c r="B42" s="163"/>
      <c r="C42" s="183"/>
      <c r="D42" s="84">
        <v>1966.6027422592199</v>
      </c>
      <c r="E42" s="85">
        <v>12.3813222971829</v>
      </c>
      <c r="F42" s="153"/>
      <c r="G42" s="85">
        <v>136.23536539077699</v>
      </c>
      <c r="H42" s="86">
        <f t="shared" si="0"/>
        <v>1</v>
      </c>
      <c r="I42" s="190"/>
      <c r="J42" s="181"/>
      <c r="K42" s="204"/>
      <c r="L42" s="207"/>
      <c r="M42" s="209"/>
      <c r="N42" s="200"/>
      <c r="O42" s="200"/>
      <c r="P42" s="197"/>
      <c r="R42" s="47"/>
      <c r="S42" s="162"/>
      <c r="T42" s="56"/>
      <c r="U42" s="159"/>
      <c r="V42" s="56"/>
      <c r="W42" s="159"/>
      <c r="X42" s="56"/>
      <c r="Y42" s="57"/>
      <c r="Z42" s="56"/>
      <c r="AA42" s="57"/>
      <c r="AB42" s="28"/>
      <c r="AC42" s="49"/>
      <c r="AD42" s="61"/>
      <c r="AE42" s="50"/>
      <c r="AF42" s="28"/>
      <c r="AG42" s="49"/>
      <c r="AH42" s="61"/>
      <c r="AI42" s="50"/>
      <c r="AK42" s="75">
        <v>1966.6027422592199</v>
      </c>
      <c r="AL42" s="134">
        <v>209.02765246567401</v>
      </c>
    </row>
    <row r="43" spans="1:38" x14ac:dyDescent="0.25">
      <c r="A43" s="163"/>
      <c r="B43" s="163"/>
      <c r="C43" s="194" t="s">
        <v>23</v>
      </c>
      <c r="D43" s="78">
        <v>1316.56510641048</v>
      </c>
      <c r="E43" s="79">
        <v>8.4594231503350397</v>
      </c>
      <c r="F43" s="151">
        <f t="shared" ref="F43" si="8">AVERAGE(E43:E47)</f>
        <v>10.621807661121995</v>
      </c>
      <c r="G43" s="79">
        <v>175.500125169754</v>
      </c>
      <c r="H43" s="80">
        <f t="shared" si="0"/>
        <v>1</v>
      </c>
      <c r="I43" s="191">
        <f>AVERAGE(D43:D47)</f>
        <v>1312.4185326278762</v>
      </c>
      <c r="J43" s="179">
        <f>AVERAGE(H43:H47)</f>
        <v>0.9950096340248793</v>
      </c>
      <c r="K43" s="202">
        <f>MAX(D43:D47)</f>
        <v>1316.56510641048</v>
      </c>
      <c r="L43" s="205">
        <f>MIN(D43:D47)</f>
        <v>1309.6541501061399</v>
      </c>
      <c r="M43" s="210">
        <v>1316.57</v>
      </c>
      <c r="N43" s="198">
        <v>0</v>
      </c>
      <c r="O43" s="198">
        <v>1.27</v>
      </c>
      <c r="P43" s="196">
        <f>M43/I43</f>
        <v>1.0031632191019211</v>
      </c>
      <c r="R43" s="22">
        <v>572.98046946807995</v>
      </c>
      <c r="S43" s="160">
        <f>(R43-AL43)/(AK43-AL43)</f>
        <v>0.10510226843485836</v>
      </c>
      <c r="T43" s="58">
        <v>944.22067690961899</v>
      </c>
      <c r="U43" s="158">
        <f>(T43-AL43)/(AK43-AL43)</f>
        <v>0.55188667332963115</v>
      </c>
      <c r="V43" s="54">
        <v>941.15386631034096</v>
      </c>
      <c r="W43" s="158">
        <f>(V43-AL43)/(AK43-AL43)</f>
        <v>0.54819579308267086</v>
      </c>
      <c r="X43" s="54">
        <v>485.64933725113798</v>
      </c>
      <c r="Y43" s="55">
        <f>(X43-AL43)/(AK43-AL43)</f>
        <v>0</v>
      </c>
      <c r="Z43" s="54">
        <v>883.71018767670398</v>
      </c>
      <c r="AA43" s="55">
        <f>(Z43-AL43)/(AK43-AL43)</f>
        <v>0.47906281863960043</v>
      </c>
      <c r="AB43" s="27">
        <v>938.41394266460804</v>
      </c>
      <c r="AC43" s="33">
        <f>(AB43-AL43)/(AK43-AL43)</f>
        <v>0.54489831848003456</v>
      </c>
      <c r="AD43" s="144">
        <v>1309.6541501061399</v>
      </c>
      <c r="AE43" s="46">
        <f>(AD43-AL43)/(AK43-AL43)</f>
        <v>0.99168272337479879</v>
      </c>
      <c r="AF43" s="27">
        <v>899.26769641601095</v>
      </c>
      <c r="AG43" s="33">
        <f>(AF43-AL43)/(AK43-AL43)</f>
        <v>0.49778614694404083</v>
      </c>
      <c r="AH43" s="31">
        <v>918.06548767065101</v>
      </c>
      <c r="AI43" s="46">
        <f>(AH43-AL43)/(AK43-AL43)</f>
        <v>0.52040912745824897</v>
      </c>
      <c r="AK43" s="75">
        <f>MAX(D43:D47,R43,T43,V43,X43,Z43,AB43,AD43,AF43,AH43)</f>
        <v>1316.56510641048</v>
      </c>
      <c r="AL43" s="134">
        <f>MIN(D43:D47,R43,T43,V43,X43,Z43,AB43,AD43,AF43,AH43)</f>
        <v>485.64933725113798</v>
      </c>
    </row>
    <row r="44" spans="1:38" x14ac:dyDescent="0.25">
      <c r="A44" s="163"/>
      <c r="B44" s="163"/>
      <c r="C44" s="183"/>
      <c r="D44" s="81">
        <v>1316.56510641048</v>
      </c>
      <c r="E44" s="82">
        <v>7.8933944151951696</v>
      </c>
      <c r="F44" s="152"/>
      <c r="G44" s="82">
        <v>177.12392425537101</v>
      </c>
      <c r="H44" s="83">
        <f t="shared" si="0"/>
        <v>1</v>
      </c>
      <c r="I44" s="192"/>
      <c r="J44" s="180"/>
      <c r="K44" s="203"/>
      <c r="L44" s="206"/>
      <c r="M44" s="210"/>
      <c r="N44" s="198"/>
      <c r="O44" s="198"/>
      <c r="P44" s="196"/>
      <c r="R44" s="22"/>
      <c r="S44" s="160"/>
      <c r="T44" s="54"/>
      <c r="U44" s="158"/>
      <c r="V44" s="54"/>
      <c r="W44" s="158"/>
      <c r="X44" s="54"/>
      <c r="Y44" s="55"/>
      <c r="Z44" s="54"/>
      <c r="AA44" s="55"/>
      <c r="AB44" s="27"/>
      <c r="AC44" s="33"/>
      <c r="AD44" s="31"/>
      <c r="AE44" s="46"/>
      <c r="AF44" s="27"/>
      <c r="AG44" s="33"/>
      <c r="AH44" s="31"/>
      <c r="AI44" s="46"/>
      <c r="AK44" s="75">
        <v>1316.56510641048</v>
      </c>
      <c r="AL44" s="134">
        <v>485.64933725113798</v>
      </c>
    </row>
    <row r="45" spans="1:38" x14ac:dyDescent="0.25">
      <c r="A45" s="163"/>
      <c r="B45" s="163"/>
      <c r="C45" s="183"/>
      <c r="D45" s="81">
        <v>1309.6541501061399</v>
      </c>
      <c r="E45" s="82">
        <v>9.5977111756801605</v>
      </c>
      <c r="F45" s="152"/>
      <c r="G45" s="82">
        <v>153.62112402915901</v>
      </c>
      <c r="H45" s="83">
        <f t="shared" si="0"/>
        <v>0.99168272337479879</v>
      </c>
      <c r="I45" s="192"/>
      <c r="J45" s="180"/>
      <c r="K45" s="203"/>
      <c r="L45" s="206"/>
      <c r="M45" s="210"/>
      <c r="N45" s="198"/>
      <c r="O45" s="198"/>
      <c r="P45" s="196"/>
      <c r="R45" s="22"/>
      <c r="S45" s="160"/>
      <c r="T45" s="54"/>
      <c r="U45" s="158"/>
      <c r="V45" s="54"/>
      <c r="W45" s="158"/>
      <c r="X45" s="54"/>
      <c r="Y45" s="55"/>
      <c r="Z45" s="54"/>
      <c r="AA45" s="55"/>
      <c r="AB45" s="27"/>
      <c r="AC45" s="33"/>
      <c r="AD45" s="31"/>
      <c r="AE45" s="46"/>
      <c r="AF45" s="27"/>
      <c r="AG45" s="33"/>
      <c r="AH45" s="31"/>
      <c r="AI45" s="46"/>
      <c r="AK45" s="75">
        <v>1316.56510641048</v>
      </c>
      <c r="AL45" s="134">
        <v>485.64933725113798</v>
      </c>
    </row>
    <row r="46" spans="1:38" x14ac:dyDescent="0.25">
      <c r="A46" s="163"/>
      <c r="B46" s="163"/>
      <c r="C46" s="183"/>
      <c r="D46" s="81">
        <v>1309.6541501061399</v>
      </c>
      <c r="E46" s="82">
        <v>13.7042573690414</v>
      </c>
      <c r="F46" s="152"/>
      <c r="G46" s="82">
        <v>137.08339619636499</v>
      </c>
      <c r="H46" s="83">
        <f t="shared" si="0"/>
        <v>0.99168272337479879</v>
      </c>
      <c r="I46" s="192"/>
      <c r="J46" s="180"/>
      <c r="K46" s="203"/>
      <c r="L46" s="206"/>
      <c r="M46" s="210"/>
      <c r="N46" s="198"/>
      <c r="O46" s="198"/>
      <c r="P46" s="196"/>
      <c r="R46" s="22"/>
      <c r="S46" s="160"/>
      <c r="T46" s="54"/>
      <c r="U46" s="158"/>
      <c r="V46" s="54"/>
      <c r="W46" s="158"/>
      <c r="X46" s="54"/>
      <c r="Y46" s="55"/>
      <c r="Z46" s="54"/>
      <c r="AA46" s="55"/>
      <c r="AB46" s="27"/>
      <c r="AC46" s="33"/>
      <c r="AD46" s="31"/>
      <c r="AE46" s="46"/>
      <c r="AF46" s="27"/>
      <c r="AG46" s="33"/>
      <c r="AH46" s="31"/>
      <c r="AI46" s="46"/>
      <c r="AK46" s="75">
        <v>1316.56510641048</v>
      </c>
      <c r="AL46" s="134">
        <v>485.64933725113798</v>
      </c>
    </row>
    <row r="47" spans="1:38" ht="14.5" thickBot="1" x14ac:dyDescent="0.3">
      <c r="A47" s="164"/>
      <c r="B47" s="164"/>
      <c r="C47" s="184"/>
      <c r="D47" s="84">
        <v>1309.6541501061399</v>
      </c>
      <c r="E47" s="85">
        <v>13.454252195358199</v>
      </c>
      <c r="F47" s="153"/>
      <c r="G47" s="85">
        <v>134.57936096191401</v>
      </c>
      <c r="H47" s="86">
        <f t="shared" si="0"/>
        <v>0.99168272337479879</v>
      </c>
      <c r="I47" s="193"/>
      <c r="J47" s="181"/>
      <c r="K47" s="204"/>
      <c r="L47" s="207"/>
      <c r="M47" s="209"/>
      <c r="N47" s="200"/>
      <c r="O47" s="200"/>
      <c r="P47" s="197"/>
      <c r="R47" s="47"/>
      <c r="S47" s="162"/>
      <c r="T47" s="56"/>
      <c r="U47" s="159"/>
      <c r="V47" s="56"/>
      <c r="W47" s="159"/>
      <c r="X47" s="56"/>
      <c r="Y47" s="57"/>
      <c r="Z47" s="56"/>
      <c r="AA47" s="57"/>
      <c r="AB47" s="28"/>
      <c r="AC47" s="49"/>
      <c r="AD47" s="61"/>
      <c r="AE47" s="50"/>
      <c r="AF47" s="28"/>
      <c r="AG47" s="49"/>
      <c r="AH47" s="61"/>
      <c r="AI47" s="50"/>
      <c r="AK47" s="126">
        <v>1316.56510641048</v>
      </c>
      <c r="AL47" s="76">
        <v>485.64933725113798</v>
      </c>
    </row>
    <row r="48" spans="1:38" x14ac:dyDescent="0.25">
      <c r="AB48" s="20"/>
      <c r="AD48" s="20"/>
      <c r="AF48" s="20"/>
      <c r="AH48" s="20"/>
    </row>
    <row r="49" spans="5:35" x14ac:dyDescent="0.25">
      <c r="E49" s="34">
        <f>AVERAGE(E3:E47)</f>
        <v>7.086353690720542</v>
      </c>
      <c r="G49" s="34">
        <f>AVERAGE(G3:G47)</f>
        <v>112.31887927055328</v>
      </c>
      <c r="I49" s="20">
        <f>AVERAGE(I3:I47)</f>
        <v>1206.3352017288153</v>
      </c>
      <c r="J49" s="36">
        <f>AVERAGE(J3:J47)</f>
        <v>0.89000320950695211</v>
      </c>
      <c r="P49" s="20">
        <f>MAX(P3:P47)</f>
        <v>1.703986626232376</v>
      </c>
      <c r="R49" s="20">
        <f>AVERAGE(R3:R47)</f>
        <v>274.70974137795292</v>
      </c>
      <c r="S49" s="36">
        <f>AVERAGE(S3:S47)</f>
        <v>0.29341840713477035</v>
      </c>
      <c r="T49" s="20">
        <f t="shared" ref="T49:AI49" si="9">AVERAGE(T3:T47)</f>
        <v>526.91859790878641</v>
      </c>
      <c r="U49" s="36">
        <f t="shared" si="9"/>
        <v>0.45779693236380314</v>
      </c>
      <c r="V49" s="20">
        <f t="shared" si="9"/>
        <v>754.6449902942378</v>
      </c>
      <c r="W49" s="36">
        <f t="shared" si="9"/>
        <v>0.61401626859907887</v>
      </c>
      <c r="X49" s="20">
        <f t="shared" si="9"/>
        <v>615.7150702250724</v>
      </c>
      <c r="Y49" s="36">
        <f t="shared" si="9"/>
        <v>0.46078673655788133</v>
      </c>
      <c r="Z49" s="20">
        <f t="shared" si="9"/>
        <v>372.18337072327591</v>
      </c>
      <c r="AA49" s="36">
        <f t="shared" si="9"/>
        <v>0.34409554758631344</v>
      </c>
      <c r="AB49" s="20">
        <f t="shared" si="9"/>
        <v>916.04105978699067</v>
      </c>
      <c r="AC49" s="36">
        <f t="shared" si="9"/>
        <v>0.6728632278273976</v>
      </c>
      <c r="AD49" s="20">
        <f t="shared" si="9"/>
        <v>713.29065236615634</v>
      </c>
      <c r="AE49" s="36">
        <f t="shared" si="9"/>
        <v>0.61494433945301952</v>
      </c>
      <c r="AF49" s="20">
        <f t="shared" si="9"/>
        <v>517.3964291053619</v>
      </c>
      <c r="AG49" s="36">
        <f t="shared" si="9"/>
        <v>0.44571848481404847</v>
      </c>
      <c r="AH49" s="20">
        <f t="shared" si="9"/>
        <v>-90.490309945975071</v>
      </c>
      <c r="AI49" s="36">
        <f t="shared" si="9"/>
        <v>0.14404793908320257</v>
      </c>
    </row>
    <row r="50" spans="5:35" x14ac:dyDescent="0.25">
      <c r="P50" s="20">
        <f>AVERAGE(P3:P47)</f>
        <v>1.2561602090156148</v>
      </c>
    </row>
  </sheetData>
  <sortState xmlns:xlrd2="http://schemas.microsoft.com/office/spreadsheetml/2017/richdata2" ref="A3:C47">
    <sortCondition descending="1" ref="B2:B47"/>
  </sortState>
  <mergeCells count="168">
    <mergeCell ref="AL1:AL2"/>
    <mergeCell ref="C3:C7"/>
    <mergeCell ref="C8:C12"/>
    <mergeCell ref="C13:C17"/>
    <mergeCell ref="C1:C2"/>
    <mergeCell ref="C18:C22"/>
    <mergeCell ref="C23:C27"/>
    <mergeCell ref="C28:C32"/>
    <mergeCell ref="AK1:AK2"/>
    <mergeCell ref="J3:J7"/>
    <mergeCell ref="J8:J12"/>
    <mergeCell ref="J13:J17"/>
    <mergeCell ref="I3:I7"/>
    <mergeCell ref="I8:I12"/>
    <mergeCell ref="I13:I17"/>
    <mergeCell ref="I18:I22"/>
    <mergeCell ref="I23:I27"/>
    <mergeCell ref="K3:K7"/>
    <mergeCell ref="K8:K12"/>
    <mergeCell ref="K13:K17"/>
    <mergeCell ref="K18:K22"/>
    <mergeCell ref="K23:K27"/>
    <mergeCell ref="K28:K32"/>
    <mergeCell ref="N28:N32"/>
    <mergeCell ref="A1:A2"/>
    <mergeCell ref="B1:B2"/>
    <mergeCell ref="N1:N2"/>
    <mergeCell ref="AB1:AI1"/>
    <mergeCell ref="AB2:AC2"/>
    <mergeCell ref="AD2:AE2"/>
    <mergeCell ref="AF2:AG2"/>
    <mergeCell ref="AH2:AI2"/>
    <mergeCell ref="D1:L1"/>
    <mergeCell ref="K33:K37"/>
    <mergeCell ref="K38:K42"/>
    <mergeCell ref="K43:K47"/>
    <mergeCell ref="L28:L32"/>
    <mergeCell ref="L33:L37"/>
    <mergeCell ref="L38:L42"/>
    <mergeCell ref="L43:L47"/>
    <mergeCell ref="M1:M2"/>
    <mergeCell ref="M3:M7"/>
    <mergeCell ref="M8:M12"/>
    <mergeCell ref="M13:M17"/>
    <mergeCell ref="M18:M22"/>
    <mergeCell ref="M23:M27"/>
    <mergeCell ref="M28:M32"/>
    <mergeCell ref="M33:M37"/>
    <mergeCell ref="M38:M42"/>
    <mergeCell ref="M43:M47"/>
    <mergeCell ref="L3:L7"/>
    <mergeCell ref="L8:L12"/>
    <mergeCell ref="L13:L17"/>
    <mergeCell ref="L18:L22"/>
    <mergeCell ref="L23:L27"/>
    <mergeCell ref="N33:N37"/>
    <mergeCell ref="N38:N42"/>
    <mergeCell ref="N43:N47"/>
    <mergeCell ref="O1:O2"/>
    <mergeCell ref="O3:O7"/>
    <mergeCell ref="O8:O12"/>
    <mergeCell ref="O13:O17"/>
    <mergeCell ref="O18:O22"/>
    <mergeCell ref="O23:O27"/>
    <mergeCell ref="O28:O32"/>
    <mergeCell ref="O33:O37"/>
    <mergeCell ref="O38:O42"/>
    <mergeCell ref="O43:O47"/>
    <mergeCell ref="N3:N7"/>
    <mergeCell ref="N8:N12"/>
    <mergeCell ref="N13:N17"/>
    <mergeCell ref="N18:N22"/>
    <mergeCell ref="N23:N27"/>
    <mergeCell ref="P28:P32"/>
    <mergeCell ref="P33:P37"/>
    <mergeCell ref="P38:P42"/>
    <mergeCell ref="P43:P47"/>
    <mergeCell ref="P3:P7"/>
    <mergeCell ref="P8:P12"/>
    <mergeCell ref="P13:P17"/>
    <mergeCell ref="P18:P22"/>
    <mergeCell ref="P23:P27"/>
    <mergeCell ref="B33:B47"/>
    <mergeCell ref="J18:J22"/>
    <mergeCell ref="J23:J27"/>
    <mergeCell ref="J28:J32"/>
    <mergeCell ref="J33:J37"/>
    <mergeCell ref="J38:J42"/>
    <mergeCell ref="I28:I32"/>
    <mergeCell ref="I33:I37"/>
    <mergeCell ref="I38:I42"/>
    <mergeCell ref="I43:I47"/>
    <mergeCell ref="C33:C37"/>
    <mergeCell ref="C38:C42"/>
    <mergeCell ref="C43:C47"/>
    <mergeCell ref="A3:A47"/>
    <mergeCell ref="P1:P2"/>
    <mergeCell ref="R1:S2"/>
    <mergeCell ref="T1:AA1"/>
    <mergeCell ref="T2:U2"/>
    <mergeCell ref="V2:W2"/>
    <mergeCell ref="X2:Y2"/>
    <mergeCell ref="Z2:AA2"/>
    <mergeCell ref="R3:R7"/>
    <mergeCell ref="R8:R12"/>
    <mergeCell ref="S3:S7"/>
    <mergeCell ref="S8:S12"/>
    <mergeCell ref="S13:S17"/>
    <mergeCell ref="S18:S22"/>
    <mergeCell ref="S23:S27"/>
    <mergeCell ref="S28:S32"/>
    <mergeCell ref="J43:J47"/>
    <mergeCell ref="B3:B17"/>
    <mergeCell ref="B18:B32"/>
    <mergeCell ref="S33:S37"/>
    <mergeCell ref="S38:S42"/>
    <mergeCell ref="S43:S47"/>
    <mergeCell ref="U3:U7"/>
    <mergeCell ref="U8:U12"/>
    <mergeCell ref="U13:U17"/>
    <mergeCell ref="U18:U22"/>
    <mergeCell ref="U23:U27"/>
    <mergeCell ref="U28:U32"/>
    <mergeCell ref="U33:U37"/>
    <mergeCell ref="U38:U42"/>
    <mergeCell ref="U43:U47"/>
    <mergeCell ref="W28:W32"/>
    <mergeCell ref="W33:W37"/>
    <mergeCell ref="W38:W42"/>
    <mergeCell ref="W43:W47"/>
    <mergeCell ref="W3:W7"/>
    <mergeCell ref="W8:W12"/>
    <mergeCell ref="W13:W17"/>
    <mergeCell ref="W18:W22"/>
    <mergeCell ref="W23:W27"/>
    <mergeCell ref="AI3:AI7"/>
    <mergeCell ref="AI8:AI12"/>
    <mergeCell ref="Y23:Y27"/>
    <mergeCell ref="Y28:Y32"/>
    <mergeCell ref="AA23:AA27"/>
    <mergeCell ref="AA28:AA32"/>
    <mergeCell ref="AC23:AC27"/>
    <mergeCell ref="AC28:AC32"/>
    <mergeCell ref="AE23:AE27"/>
    <mergeCell ref="AE28:AE32"/>
    <mergeCell ref="AG23:AG27"/>
    <mergeCell ref="AG28:AG32"/>
    <mergeCell ref="AI23:AI27"/>
    <mergeCell ref="AI28:AI32"/>
    <mergeCell ref="Y3:Y7"/>
    <mergeCell ref="Y8:Y12"/>
    <mergeCell ref="AA3:AA7"/>
    <mergeCell ref="AA8:AA12"/>
    <mergeCell ref="AC3:AC7"/>
    <mergeCell ref="AC8:AC12"/>
    <mergeCell ref="AE3:AE7"/>
    <mergeCell ref="AE8:AE12"/>
    <mergeCell ref="AG3:AG7"/>
    <mergeCell ref="AG8:AG12"/>
    <mergeCell ref="F3:F7"/>
    <mergeCell ref="F8:F12"/>
    <mergeCell ref="F13:F17"/>
    <mergeCell ref="F18:F22"/>
    <mergeCell ref="F23:F27"/>
    <mergeCell ref="F28:F32"/>
    <mergeCell ref="F33:F37"/>
    <mergeCell ref="F38:F42"/>
    <mergeCell ref="F43:F47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0"/>
  <sheetViews>
    <sheetView topLeftCell="A11" zoomScale="70" zoomScaleNormal="70" workbookViewId="0">
      <selection activeCell="D2" sqref="D1:E1048576"/>
    </sheetView>
  </sheetViews>
  <sheetFormatPr defaultColWidth="9" defaultRowHeight="14" x14ac:dyDescent="0.25"/>
  <cols>
    <col min="1" max="3" width="9" style="19"/>
    <col min="4" max="4" width="9.6328125" style="96" bestFit="1" customWidth="1"/>
    <col min="5" max="5" width="9.08984375" style="96" bestFit="1" customWidth="1"/>
    <col min="6" max="6" width="9.08984375" style="96" customWidth="1"/>
    <col min="7" max="7" width="9.08984375" style="96" bestFit="1" customWidth="1"/>
    <col min="8" max="8" width="9" style="97"/>
    <col min="9" max="9" width="10.08984375" style="64" customWidth="1"/>
    <col min="10" max="10" width="10.08984375" style="36" customWidth="1"/>
    <col min="11" max="11" width="11.08984375" style="64" customWidth="1"/>
    <col min="12" max="12" width="10.6328125" style="64" customWidth="1"/>
    <col min="13" max="14" width="9" style="19"/>
    <col min="15" max="15" width="9.81640625" style="19" bestFit="1" customWidth="1"/>
    <col min="16" max="17" width="9" style="19"/>
    <col min="18" max="18" width="9.1796875" style="20" customWidth="1"/>
    <col min="19" max="19" width="9.1796875" style="36" customWidth="1"/>
    <col min="20" max="20" width="9.54296875" style="20"/>
    <col min="21" max="21" width="9" style="36"/>
    <col min="22" max="22" width="10.36328125" style="20" customWidth="1"/>
    <col min="23" max="23" width="9.1796875" style="36" customWidth="1"/>
    <col min="24" max="24" width="9.54296875" style="20"/>
    <col min="25" max="25" width="9" style="36"/>
    <col min="26" max="26" width="9.1796875" style="20" customWidth="1"/>
    <col min="27" max="27" width="9.1796875" style="36" customWidth="1"/>
    <col min="28" max="28" width="9.1796875" style="20" customWidth="1"/>
    <col min="29" max="29" width="9.1796875" style="36" customWidth="1"/>
    <col min="30" max="30" width="10.6328125" style="20" customWidth="1"/>
    <col min="31" max="31" width="9.1796875" style="36" customWidth="1"/>
    <col min="32" max="32" width="10.1796875" style="20" customWidth="1"/>
    <col min="33" max="33" width="10.1796875" style="36" customWidth="1"/>
    <col min="34" max="34" width="10.1796875" style="20" customWidth="1"/>
    <col min="35" max="35" width="10.1796875" style="36" customWidth="1"/>
    <col min="36" max="37" width="9" style="19"/>
    <col min="38" max="38" width="11.453125" style="19" customWidth="1"/>
    <col min="39" max="16384" width="9" style="19"/>
  </cols>
  <sheetData>
    <row r="1" spans="1:38" ht="14.5" thickBot="1" x14ac:dyDescent="0.3">
      <c r="A1" s="194" t="s">
        <v>26</v>
      </c>
      <c r="B1" s="212" t="s">
        <v>25</v>
      </c>
      <c r="C1" s="194" t="s">
        <v>24</v>
      </c>
      <c r="D1" s="218" t="s">
        <v>0</v>
      </c>
      <c r="E1" s="219"/>
      <c r="F1" s="219"/>
      <c r="G1" s="219"/>
      <c r="H1" s="219"/>
      <c r="I1" s="220"/>
      <c r="J1" s="220"/>
      <c r="K1" s="220"/>
      <c r="L1" s="221"/>
      <c r="M1" s="208" t="s">
        <v>1</v>
      </c>
      <c r="N1" s="201" t="s">
        <v>2</v>
      </c>
      <c r="O1" s="201" t="s">
        <v>3</v>
      </c>
      <c r="P1" s="165" t="s">
        <v>20</v>
      </c>
      <c r="Q1" s="17"/>
      <c r="R1" s="167" t="s">
        <v>4</v>
      </c>
      <c r="S1" s="273"/>
      <c r="T1" s="171" t="s">
        <v>17</v>
      </c>
      <c r="U1" s="172"/>
      <c r="V1" s="172"/>
      <c r="W1" s="172"/>
      <c r="X1" s="172"/>
      <c r="Y1" s="172"/>
      <c r="Z1" s="172"/>
      <c r="AA1" s="173"/>
      <c r="AB1" s="269" t="s">
        <v>5</v>
      </c>
      <c r="AC1" s="269"/>
      <c r="AD1" s="269"/>
      <c r="AE1" s="269"/>
      <c r="AF1" s="269"/>
      <c r="AG1" s="269"/>
      <c r="AH1" s="269"/>
      <c r="AI1" s="270"/>
      <c r="AK1" s="267" t="s">
        <v>12</v>
      </c>
      <c r="AL1" s="267" t="s">
        <v>13</v>
      </c>
    </row>
    <row r="2" spans="1:38" ht="14.5" thickBot="1" x14ac:dyDescent="0.3">
      <c r="A2" s="184"/>
      <c r="B2" s="213"/>
      <c r="C2" s="184"/>
      <c r="D2" s="38" t="s">
        <v>15</v>
      </c>
      <c r="E2" s="77" t="s">
        <v>18</v>
      </c>
      <c r="F2" s="77"/>
      <c r="G2" s="42" t="s">
        <v>19</v>
      </c>
      <c r="H2" s="39" t="s">
        <v>16</v>
      </c>
      <c r="I2" s="40" t="s">
        <v>6</v>
      </c>
      <c r="J2" s="41" t="s">
        <v>14</v>
      </c>
      <c r="K2" s="42" t="s">
        <v>7</v>
      </c>
      <c r="L2" s="43" t="s">
        <v>8</v>
      </c>
      <c r="M2" s="209"/>
      <c r="N2" s="200"/>
      <c r="O2" s="200"/>
      <c r="P2" s="166"/>
      <c r="Q2" s="16"/>
      <c r="R2" s="169"/>
      <c r="S2" s="274"/>
      <c r="T2" s="271">
        <v>3</v>
      </c>
      <c r="U2" s="272"/>
      <c r="V2" s="271">
        <v>6</v>
      </c>
      <c r="W2" s="272"/>
      <c r="X2" s="271">
        <v>9</v>
      </c>
      <c r="Y2" s="272"/>
      <c r="Z2" s="271">
        <v>12</v>
      </c>
      <c r="AA2" s="272"/>
      <c r="AB2" s="215">
        <v>0.2</v>
      </c>
      <c r="AC2" s="216"/>
      <c r="AD2" s="215">
        <v>0.4</v>
      </c>
      <c r="AE2" s="217"/>
      <c r="AF2" s="216">
        <v>0.6</v>
      </c>
      <c r="AG2" s="216"/>
      <c r="AH2" s="215">
        <v>0.8</v>
      </c>
      <c r="AI2" s="217"/>
      <c r="AK2" s="268"/>
      <c r="AL2" s="268"/>
    </row>
    <row r="3" spans="1:38" x14ac:dyDescent="0.25">
      <c r="A3" s="163">
        <v>72</v>
      </c>
      <c r="B3" s="182" t="s">
        <v>9</v>
      </c>
      <c r="C3" s="194" t="s">
        <v>21</v>
      </c>
      <c r="D3" s="90">
        <v>2106.35939304566</v>
      </c>
      <c r="E3" s="90">
        <v>8.8828084230422899</v>
      </c>
      <c r="F3" s="151">
        <f>AVERAGE(E3:E7)</f>
        <v>8.8885937769089338</v>
      </c>
      <c r="G3" s="90">
        <v>266.572858572006</v>
      </c>
      <c r="H3" s="91">
        <f>(D3-AL3)/(AK3-AL3)</f>
        <v>1</v>
      </c>
      <c r="I3" s="255">
        <f>AVERAGE(D3:D7)</f>
        <v>1964.712453523618</v>
      </c>
      <c r="J3" s="179">
        <f>AVERAGE(H3:H7)</f>
        <v>0.95322955625554617</v>
      </c>
      <c r="K3" s="258">
        <f>MAX(D3:D7)</f>
        <v>2106.35939304566</v>
      </c>
      <c r="L3" s="238">
        <f>MIN(D3:D7)</f>
        <v>1782.6101122170501</v>
      </c>
      <c r="M3" s="241">
        <v>2535.1799999999998</v>
      </c>
      <c r="N3" s="247">
        <v>0</v>
      </c>
      <c r="O3" s="198">
        <v>544.37</v>
      </c>
      <c r="P3" s="244">
        <f>M3/I3</f>
        <v>1.2903567621069818</v>
      </c>
      <c r="R3" s="21">
        <v>1018.34599241979</v>
      </c>
      <c r="S3" s="161">
        <f>(R3-AL3)/(AK3-AL3)</f>
        <v>0.64074854198127162</v>
      </c>
      <c r="T3" s="52">
        <v>1278.1877187368</v>
      </c>
      <c r="U3" s="236">
        <f>(T3-AL3)/(AK3-AL3)</f>
        <v>0.72654575640876973</v>
      </c>
      <c r="V3" s="59">
        <v>1771.9246496820001</v>
      </c>
      <c r="W3" s="157">
        <f>(V3-AL3)/(AK3-AL3)</f>
        <v>0.88957289579668686</v>
      </c>
      <c r="X3" s="23">
        <v>847.41288637502203</v>
      </c>
      <c r="Y3" s="236">
        <f>(X3-AL3)/(AK3-AL3)</f>
        <v>0.58430809048046428</v>
      </c>
      <c r="Z3" s="71">
        <v>821.342590692974</v>
      </c>
      <c r="AA3" s="157">
        <f>(Z3-AL3)/(AK3-AL3)</f>
        <v>0.57569993204292347</v>
      </c>
      <c r="AB3" s="30">
        <v>1836.5007353672399</v>
      </c>
      <c r="AC3" s="232">
        <f>(AB3-AL3)/(AK3-AL3)</f>
        <v>0.91089529212215459</v>
      </c>
      <c r="AD3" s="62">
        <v>2065.8182085144399</v>
      </c>
      <c r="AE3" s="154">
        <f>(AD3-AL3)/(AK3-AL3)</f>
        <v>0.9866136946068228</v>
      </c>
      <c r="AF3" s="30">
        <v>1056.0769283608199</v>
      </c>
      <c r="AG3" s="232">
        <f>(AF3-AL3)/(AK3-AL3)</f>
        <v>0.65320693058331358</v>
      </c>
      <c r="AH3" s="60">
        <v>-922.19728039489701</v>
      </c>
      <c r="AI3" s="154">
        <f>(AH3-AL3)/(AK3-AL3)</f>
        <v>0</v>
      </c>
      <c r="AK3" s="75">
        <f>MAX(D3:D7,R3,T3,V3,X3,Z3,AB3,AD3,AF3,AH3)</f>
        <v>2106.35939304566</v>
      </c>
      <c r="AL3" s="134">
        <f>MIN(D3:D7,R3,T3,V3,X3,Z3,AB3,AD3,AF3,AH3)</f>
        <v>-922.19728039489701</v>
      </c>
    </row>
    <row r="4" spans="1:38" x14ac:dyDescent="0.25">
      <c r="A4" s="163"/>
      <c r="B4" s="163"/>
      <c r="C4" s="183"/>
      <c r="D4" s="92">
        <v>2039.5684003296201</v>
      </c>
      <c r="E4" s="92">
        <v>9.11728070628258</v>
      </c>
      <c r="F4" s="152"/>
      <c r="G4" s="92">
        <v>282.72431826591401</v>
      </c>
      <c r="H4" s="93">
        <f t="shared" ref="H4:H47" si="0">(D4-AL4)/(AK4-AL4)</f>
        <v>0.97794626288430564</v>
      </c>
      <c r="I4" s="256"/>
      <c r="J4" s="180"/>
      <c r="K4" s="259"/>
      <c r="L4" s="239"/>
      <c r="M4" s="241"/>
      <c r="N4" s="247"/>
      <c r="O4" s="198"/>
      <c r="P4" s="244"/>
      <c r="R4" s="22"/>
      <c r="S4" s="160"/>
      <c r="T4" s="54"/>
      <c r="U4" s="235"/>
      <c r="V4" s="69"/>
      <c r="W4" s="158"/>
      <c r="X4" s="24"/>
      <c r="Y4" s="235"/>
      <c r="Z4" s="69"/>
      <c r="AA4" s="158"/>
      <c r="AB4" s="27"/>
      <c r="AC4" s="233"/>
      <c r="AD4" s="31"/>
      <c r="AE4" s="155"/>
      <c r="AF4" s="27"/>
      <c r="AG4" s="233"/>
      <c r="AH4" s="31"/>
      <c r="AI4" s="155"/>
      <c r="AK4" s="75">
        <v>2106.35939304566</v>
      </c>
      <c r="AL4" s="134">
        <v>-922.19728039489701</v>
      </c>
    </row>
    <row r="5" spans="1:38" x14ac:dyDescent="0.25">
      <c r="A5" s="163"/>
      <c r="B5" s="163"/>
      <c r="C5" s="183"/>
      <c r="D5" s="92">
        <v>2009.5684003296201</v>
      </c>
      <c r="E5" s="92">
        <v>10.1290762506682</v>
      </c>
      <c r="F5" s="152"/>
      <c r="G5" s="92">
        <v>293.82385540008499</v>
      </c>
      <c r="H5" s="93">
        <f t="shared" si="0"/>
        <v>0.96804055424656077</v>
      </c>
      <c r="I5" s="256"/>
      <c r="J5" s="180"/>
      <c r="K5" s="259"/>
      <c r="L5" s="239"/>
      <c r="M5" s="241"/>
      <c r="N5" s="247"/>
      <c r="O5" s="198"/>
      <c r="P5" s="244"/>
      <c r="R5" s="22"/>
      <c r="S5" s="160"/>
      <c r="T5" s="54"/>
      <c r="U5" s="235"/>
      <c r="V5" s="69"/>
      <c r="W5" s="158"/>
      <c r="X5" s="24"/>
      <c r="Y5" s="235"/>
      <c r="Z5" s="69"/>
      <c r="AA5" s="158"/>
      <c r="AB5" s="27"/>
      <c r="AC5" s="233"/>
      <c r="AD5" s="31"/>
      <c r="AE5" s="155"/>
      <c r="AF5" s="27"/>
      <c r="AG5" s="233"/>
      <c r="AH5" s="31"/>
      <c r="AI5" s="155"/>
      <c r="AK5" s="75">
        <v>2106.35939304566</v>
      </c>
      <c r="AL5" s="134">
        <v>-922.19728039489701</v>
      </c>
    </row>
    <row r="6" spans="1:38" x14ac:dyDescent="0.25">
      <c r="A6" s="163"/>
      <c r="B6" s="163"/>
      <c r="C6" s="183"/>
      <c r="D6" s="92">
        <v>1885.4559616961401</v>
      </c>
      <c r="E6" s="92">
        <v>7.3903399513613701</v>
      </c>
      <c r="F6" s="152"/>
      <c r="G6" s="92">
        <v>229.18432855606</v>
      </c>
      <c r="H6" s="93">
        <f t="shared" si="0"/>
        <v>0.92705983239911927</v>
      </c>
      <c r="I6" s="256"/>
      <c r="J6" s="180"/>
      <c r="K6" s="259"/>
      <c r="L6" s="239"/>
      <c r="M6" s="241"/>
      <c r="N6" s="247"/>
      <c r="O6" s="198"/>
      <c r="P6" s="244"/>
      <c r="R6" s="22"/>
      <c r="S6" s="160"/>
      <c r="T6" s="54"/>
      <c r="U6" s="235"/>
      <c r="V6" s="69"/>
      <c r="W6" s="158"/>
      <c r="X6" s="24"/>
      <c r="Y6" s="235"/>
      <c r="Z6" s="69"/>
      <c r="AA6" s="158"/>
      <c r="AB6" s="27"/>
      <c r="AC6" s="233"/>
      <c r="AD6" s="31"/>
      <c r="AE6" s="155"/>
      <c r="AF6" s="27"/>
      <c r="AG6" s="233"/>
      <c r="AH6" s="31"/>
      <c r="AI6" s="155"/>
      <c r="AK6" s="75">
        <v>2106.35939304566</v>
      </c>
      <c r="AL6" s="134">
        <v>-922.19728039489701</v>
      </c>
    </row>
    <row r="7" spans="1:38" ht="14.5" thickBot="1" x14ac:dyDescent="0.3">
      <c r="A7" s="163"/>
      <c r="B7" s="163"/>
      <c r="C7" s="183"/>
      <c r="D7" s="94">
        <v>1782.6101122170501</v>
      </c>
      <c r="E7" s="94">
        <v>8.9234635531902295</v>
      </c>
      <c r="F7" s="153"/>
      <c r="G7" s="94">
        <v>357.05207681655799</v>
      </c>
      <c r="H7" s="95">
        <f t="shared" si="0"/>
        <v>0.89310113174774486</v>
      </c>
      <c r="I7" s="257"/>
      <c r="J7" s="181"/>
      <c r="K7" s="260"/>
      <c r="L7" s="240"/>
      <c r="M7" s="241"/>
      <c r="N7" s="247"/>
      <c r="O7" s="198"/>
      <c r="P7" s="244"/>
      <c r="R7" s="47"/>
      <c r="S7" s="162"/>
      <c r="T7" s="56"/>
      <c r="U7" s="237"/>
      <c r="V7" s="70"/>
      <c r="W7" s="159"/>
      <c r="X7" s="48"/>
      <c r="Y7" s="237"/>
      <c r="Z7" s="70"/>
      <c r="AA7" s="159"/>
      <c r="AB7" s="28"/>
      <c r="AC7" s="234"/>
      <c r="AD7" s="61"/>
      <c r="AE7" s="156"/>
      <c r="AF7" s="28"/>
      <c r="AG7" s="234"/>
      <c r="AH7" s="61"/>
      <c r="AI7" s="156"/>
      <c r="AK7" s="75">
        <v>2106.35939304566</v>
      </c>
      <c r="AL7" s="134">
        <v>-922.19728039489701</v>
      </c>
    </row>
    <row r="8" spans="1:38" x14ac:dyDescent="0.25">
      <c r="A8" s="163"/>
      <c r="B8" s="163"/>
      <c r="C8" s="194" t="s">
        <v>22</v>
      </c>
      <c r="D8" s="90">
        <v>2934.1588866965499</v>
      </c>
      <c r="E8" s="90">
        <v>13.910180993702101</v>
      </c>
      <c r="F8" s="151">
        <f t="shared" ref="F8" si="1">AVERAGE(E8:E12)</f>
        <v>12.899346668884339</v>
      </c>
      <c r="G8" s="90">
        <v>320.00584411621003</v>
      </c>
      <c r="H8" s="91">
        <f t="shared" si="0"/>
        <v>0.98631826036134318</v>
      </c>
      <c r="I8" s="261">
        <f>AVERAGE(D8:D12)</f>
        <v>2666.5235484386681</v>
      </c>
      <c r="J8" s="179">
        <f>AVERAGE(H8:H12)</f>
        <v>0.93155514430623731</v>
      </c>
      <c r="K8" s="258">
        <f>MAX(D8:D12)</f>
        <v>3001.0235445159401</v>
      </c>
      <c r="L8" s="238">
        <f>MIN(D8:D12)</f>
        <v>2413.3538177932401</v>
      </c>
      <c r="M8" s="251">
        <v>3586.46</v>
      </c>
      <c r="N8" s="249">
        <v>0</v>
      </c>
      <c r="O8" s="199">
        <v>336.34</v>
      </c>
      <c r="P8" s="243">
        <f>M8/I8</f>
        <v>1.3449946849709928</v>
      </c>
      <c r="Q8" s="17"/>
      <c r="R8" s="22">
        <v>1812.80698605362</v>
      </c>
      <c r="S8" s="160">
        <f>(R8-AL8)/(AK8-AL8)</f>
        <v>0.7568690229278644</v>
      </c>
      <c r="T8" s="54">
        <v>2346.7498836555801</v>
      </c>
      <c r="U8" s="235">
        <f>(T8-AL8)/(AK8-AL8)</f>
        <v>0.86612356703444571</v>
      </c>
      <c r="V8" s="89">
        <v>2620.0419190257498</v>
      </c>
      <c r="W8" s="158">
        <f>(V8-AL8)/(AK8-AL8)</f>
        <v>0.92204414743064034</v>
      </c>
      <c r="X8" s="24">
        <v>2192.21011465537</v>
      </c>
      <c r="Y8" s="235">
        <f>(X8-AL8)/(AK8-AL8)</f>
        <v>0.83450188598150088</v>
      </c>
      <c r="Z8" s="69">
        <v>2461.9842260154801</v>
      </c>
      <c r="AA8" s="158">
        <f>(Z8-AL8)/(AK8-AL8)</f>
        <v>0.88970263437759456</v>
      </c>
      <c r="AB8" s="27">
        <v>2264.4332782764</v>
      </c>
      <c r="AC8" s="233">
        <f>(AB8-AL8)/(AK8-AL8)</f>
        <v>0.84928007453085574</v>
      </c>
      <c r="AD8" s="31">
        <v>2305.61472562376</v>
      </c>
      <c r="AE8" s="155">
        <f>(AD8-AL8)/(AK8-AL8)</f>
        <v>0.85770655660560968</v>
      </c>
      <c r="AF8" s="29">
        <v>2480.3872068824398</v>
      </c>
      <c r="AG8" s="233">
        <f>(AF8-AL8)/(AK8-AL8)</f>
        <v>0.89346822297115347</v>
      </c>
      <c r="AH8" s="31">
        <v>-1886.1223583682599</v>
      </c>
      <c r="AI8" s="155">
        <f>(AH8-AL8)/(AK8-AL8)</f>
        <v>0</v>
      </c>
      <c r="AK8" s="75">
        <f>MAX(D8:D12,R8,T8,V8,X8,Z8,AB8,AD8,AF8,AH8)</f>
        <v>3001.0235445159401</v>
      </c>
      <c r="AL8" s="134">
        <f>MIN(D8:D12,R8,T8,V8,X8,Z8,AB8,AD8,AF8,AH8)</f>
        <v>-1886.1223583682599</v>
      </c>
    </row>
    <row r="9" spans="1:38" x14ac:dyDescent="0.25">
      <c r="A9" s="163"/>
      <c r="B9" s="163"/>
      <c r="C9" s="183"/>
      <c r="D9" s="92">
        <v>2557.8782915350398</v>
      </c>
      <c r="E9" s="92">
        <v>11.721482694149</v>
      </c>
      <c r="F9" s="152"/>
      <c r="G9" s="92">
        <v>187.626359939575</v>
      </c>
      <c r="H9" s="93">
        <f t="shared" si="0"/>
        <v>0.90932432512003103</v>
      </c>
      <c r="I9" s="262"/>
      <c r="J9" s="180"/>
      <c r="K9" s="259"/>
      <c r="L9" s="239"/>
      <c r="M9" s="241"/>
      <c r="N9" s="247"/>
      <c r="O9" s="198"/>
      <c r="P9" s="244"/>
      <c r="Q9" s="18"/>
      <c r="R9" s="22"/>
      <c r="S9" s="160"/>
      <c r="T9" s="54"/>
      <c r="U9" s="235"/>
      <c r="V9" s="69"/>
      <c r="W9" s="158"/>
      <c r="X9" s="24"/>
      <c r="Y9" s="235"/>
      <c r="Z9" s="69"/>
      <c r="AA9" s="158"/>
      <c r="AB9" s="27"/>
      <c r="AC9" s="233"/>
      <c r="AD9" s="31"/>
      <c r="AE9" s="155"/>
      <c r="AF9" s="27"/>
      <c r="AG9" s="233"/>
      <c r="AH9" s="31"/>
      <c r="AI9" s="155"/>
      <c r="AK9" s="75">
        <v>3001.0235445159401</v>
      </c>
      <c r="AL9" s="134">
        <v>-1886.1223583682599</v>
      </c>
    </row>
    <row r="10" spans="1:38" x14ac:dyDescent="0.25">
      <c r="A10" s="163"/>
      <c r="B10" s="163"/>
      <c r="C10" s="183"/>
      <c r="D10" s="92">
        <v>3001.0235445159401</v>
      </c>
      <c r="E10" s="92">
        <v>13.612490405639001</v>
      </c>
      <c r="F10" s="152"/>
      <c r="G10" s="92">
        <v>326.77444791793801</v>
      </c>
      <c r="H10" s="93">
        <f t="shared" si="0"/>
        <v>1</v>
      </c>
      <c r="I10" s="262"/>
      <c r="J10" s="180"/>
      <c r="K10" s="259"/>
      <c r="L10" s="239"/>
      <c r="M10" s="241"/>
      <c r="N10" s="247"/>
      <c r="O10" s="198"/>
      <c r="P10" s="244"/>
      <c r="Q10" s="18"/>
      <c r="R10" s="22"/>
      <c r="S10" s="160"/>
      <c r="T10" s="54"/>
      <c r="U10" s="235"/>
      <c r="V10" s="69"/>
      <c r="W10" s="158"/>
      <c r="X10" s="24"/>
      <c r="Y10" s="235"/>
      <c r="Z10" s="69"/>
      <c r="AA10" s="158"/>
      <c r="AB10" s="27"/>
      <c r="AC10" s="233"/>
      <c r="AD10" s="31"/>
      <c r="AE10" s="155"/>
      <c r="AF10" s="27"/>
      <c r="AG10" s="233"/>
      <c r="AH10" s="31"/>
      <c r="AI10" s="155"/>
      <c r="AK10" s="75">
        <v>3001.0235445159401</v>
      </c>
      <c r="AL10" s="134">
        <v>-1886.1223583682599</v>
      </c>
    </row>
    <row r="11" spans="1:38" x14ac:dyDescent="0.25">
      <c r="A11" s="163"/>
      <c r="B11" s="163"/>
      <c r="C11" s="183"/>
      <c r="D11" s="92">
        <v>2426.20320165257</v>
      </c>
      <c r="E11" s="92">
        <v>13.1858470588922</v>
      </c>
      <c r="F11" s="152"/>
      <c r="G11" s="92">
        <v>211.021342992782</v>
      </c>
      <c r="H11" s="93">
        <f t="shared" si="0"/>
        <v>0.88238117824063045</v>
      </c>
      <c r="I11" s="262"/>
      <c r="J11" s="180"/>
      <c r="K11" s="259"/>
      <c r="L11" s="239"/>
      <c r="M11" s="241"/>
      <c r="N11" s="247"/>
      <c r="O11" s="198"/>
      <c r="P11" s="244"/>
      <c r="Q11" s="18"/>
      <c r="R11" s="22"/>
      <c r="S11" s="160"/>
      <c r="T11" s="54"/>
      <c r="U11" s="235"/>
      <c r="V11" s="69"/>
      <c r="W11" s="158"/>
      <c r="X11" s="24"/>
      <c r="Y11" s="235"/>
      <c r="Z11" s="69"/>
      <c r="AA11" s="158"/>
      <c r="AB11" s="27"/>
      <c r="AC11" s="233"/>
      <c r="AD11" s="31"/>
      <c r="AE11" s="155"/>
      <c r="AF11" s="27"/>
      <c r="AG11" s="233"/>
      <c r="AH11" s="31"/>
      <c r="AI11" s="155"/>
      <c r="AK11" s="75">
        <v>3001.0235445159401</v>
      </c>
      <c r="AL11" s="134">
        <v>-1886.1223583682599</v>
      </c>
    </row>
    <row r="12" spans="1:38" ht="14.5" thickBot="1" x14ac:dyDescent="0.3">
      <c r="A12" s="163"/>
      <c r="B12" s="163"/>
      <c r="C12" s="183"/>
      <c r="D12" s="94">
        <v>2413.3538177932401</v>
      </c>
      <c r="E12" s="94">
        <v>12.0667321920394</v>
      </c>
      <c r="F12" s="153"/>
      <c r="G12" s="94">
        <v>241.39537668228101</v>
      </c>
      <c r="H12" s="95">
        <f t="shared" si="0"/>
        <v>0.87975195780918258</v>
      </c>
      <c r="I12" s="263"/>
      <c r="J12" s="181"/>
      <c r="K12" s="260"/>
      <c r="L12" s="240"/>
      <c r="M12" s="242"/>
      <c r="N12" s="248"/>
      <c r="O12" s="200"/>
      <c r="P12" s="245"/>
      <c r="Q12" s="16"/>
      <c r="R12" s="22"/>
      <c r="S12" s="160"/>
      <c r="T12" s="54"/>
      <c r="U12" s="235"/>
      <c r="V12" s="69"/>
      <c r="W12" s="158"/>
      <c r="X12" s="24"/>
      <c r="Y12" s="235"/>
      <c r="Z12" s="69"/>
      <c r="AA12" s="158"/>
      <c r="AB12" s="27"/>
      <c r="AC12" s="233"/>
      <c r="AD12" s="31"/>
      <c r="AE12" s="155"/>
      <c r="AF12" s="27"/>
      <c r="AG12" s="233"/>
      <c r="AH12" s="31"/>
      <c r="AI12" s="155"/>
      <c r="AK12" s="75">
        <v>3001.0235445159401</v>
      </c>
      <c r="AL12" s="134">
        <v>-1886.1223583682599</v>
      </c>
    </row>
    <row r="13" spans="1:38" x14ac:dyDescent="0.25">
      <c r="A13" s="163"/>
      <c r="B13" s="163"/>
      <c r="C13" s="194" t="s">
        <v>23</v>
      </c>
      <c r="D13" s="90">
        <v>2565.5383369152401</v>
      </c>
      <c r="E13" s="90">
        <v>10.213506773114201</v>
      </c>
      <c r="F13" s="151">
        <f t="shared" ref="F13" si="2">AVERAGE(E13:E17)</f>
        <v>10.232495907782933</v>
      </c>
      <c r="G13" s="90">
        <v>326.92378878593399</v>
      </c>
      <c r="H13" s="91">
        <f t="shared" si="0"/>
        <v>0.90960797356253797</v>
      </c>
      <c r="I13" s="252">
        <f>AVERAGE(D13:D17)</f>
        <v>2706.6995396890898</v>
      </c>
      <c r="J13" s="179">
        <f>AVERAGE(H13:H17)</f>
        <v>0.94497669610954083</v>
      </c>
      <c r="K13" s="258">
        <f>MAX(D13:D17)</f>
        <v>2926.3047501245601</v>
      </c>
      <c r="L13" s="238">
        <f>MIN(D13:D17)</f>
        <v>2565.5383369152401</v>
      </c>
      <c r="M13" s="241">
        <v>3231.46</v>
      </c>
      <c r="N13" s="246">
        <v>0</v>
      </c>
      <c r="O13" s="198">
        <v>2172.88</v>
      </c>
      <c r="P13" s="244">
        <f>M13/I13</f>
        <v>1.1938746627086609</v>
      </c>
      <c r="R13" s="21">
        <v>1478.4027657889901</v>
      </c>
      <c r="S13" s="161">
        <f>(R13-AL13)/(AK13-AL13)</f>
        <v>0.63722012456027166</v>
      </c>
      <c r="T13" s="59">
        <v>2202.6543103102899</v>
      </c>
      <c r="U13" s="236">
        <f>(T13-AL13)/(AK13-AL13)</f>
        <v>0.81868536733983666</v>
      </c>
      <c r="V13" s="71">
        <v>1925.47362410951</v>
      </c>
      <c r="W13" s="157">
        <f>(V13-AL13)/(AK13-AL13)</f>
        <v>0.74923620855554118</v>
      </c>
      <c r="X13" s="23">
        <v>1910.3823875570799</v>
      </c>
      <c r="Y13" s="236">
        <f>(X13-AL13)/(AK13-AL13)</f>
        <v>0.74545501550797844</v>
      </c>
      <c r="Z13" s="71">
        <v>1360.2888029144001</v>
      </c>
      <c r="AA13" s="157">
        <f>(Z13-AL13)/(AK13-AL13)</f>
        <v>0.60762601584095832</v>
      </c>
      <c r="AB13" s="30">
        <v>2045.6539355121499</v>
      </c>
      <c r="AC13" s="232">
        <f>(AB13-AL13)/(AK13-AL13)</f>
        <v>0.77934805236309346</v>
      </c>
      <c r="AD13" s="72">
        <v>2509.8073032771299</v>
      </c>
      <c r="AE13" s="154">
        <f>(AD13-AL13)/(AK13-AL13)</f>
        <v>0.89564425387702418</v>
      </c>
      <c r="AF13" s="30">
        <v>708.96546545841602</v>
      </c>
      <c r="AG13" s="232">
        <f>(AF13-AL13)/(AK13-AL13)</f>
        <v>0.44443333996262518</v>
      </c>
      <c r="AH13" s="60">
        <v>-1064.82618728082</v>
      </c>
      <c r="AI13" s="154">
        <f>(AH13-AL13)/(AK13-AL13)</f>
        <v>0</v>
      </c>
      <c r="AK13" s="75">
        <f>MAX(D13:D17,R13,T13,V13,X13,Z13,AB13,AD13,AF13,AH13)</f>
        <v>2926.3047501245601</v>
      </c>
      <c r="AL13" s="134">
        <f>MIN(D13:D17,R13,T13,V13,X13,Z13,AB13,AD13,AF13,AH13)</f>
        <v>-1064.82618728082</v>
      </c>
    </row>
    <row r="14" spans="1:38" x14ac:dyDescent="0.25">
      <c r="A14" s="163"/>
      <c r="B14" s="163"/>
      <c r="C14" s="183"/>
      <c r="D14" s="92">
        <v>2589.71535175486</v>
      </c>
      <c r="E14" s="92">
        <v>11.1107196489969</v>
      </c>
      <c r="F14" s="152"/>
      <c r="G14" s="92">
        <v>333.40522551536498</v>
      </c>
      <c r="H14" s="93">
        <f t="shared" si="0"/>
        <v>0.91566565876976336</v>
      </c>
      <c r="I14" s="253"/>
      <c r="J14" s="180"/>
      <c r="K14" s="259"/>
      <c r="L14" s="239"/>
      <c r="M14" s="241"/>
      <c r="N14" s="247"/>
      <c r="O14" s="198"/>
      <c r="P14" s="244"/>
      <c r="R14" s="22"/>
      <c r="S14" s="160"/>
      <c r="T14" s="54"/>
      <c r="U14" s="235"/>
      <c r="V14" s="69"/>
      <c r="W14" s="158"/>
      <c r="X14" s="24"/>
      <c r="Y14" s="235"/>
      <c r="Z14" s="69"/>
      <c r="AA14" s="158"/>
      <c r="AB14" s="27"/>
      <c r="AC14" s="233"/>
      <c r="AD14" s="31"/>
      <c r="AE14" s="155"/>
      <c r="AF14" s="27"/>
      <c r="AG14" s="233"/>
      <c r="AH14" s="31"/>
      <c r="AI14" s="155"/>
      <c r="AK14" s="75">
        <v>2926.3047501245601</v>
      </c>
      <c r="AL14" s="134">
        <v>-1064.82618728082</v>
      </c>
    </row>
    <row r="15" spans="1:38" x14ac:dyDescent="0.25">
      <c r="A15" s="163"/>
      <c r="B15" s="163"/>
      <c r="C15" s="183"/>
      <c r="D15" s="92">
        <v>2926.3047501245601</v>
      </c>
      <c r="E15" s="92">
        <v>10.625771827167901</v>
      </c>
      <c r="F15" s="152"/>
      <c r="G15" s="92">
        <v>382.63332366943303</v>
      </c>
      <c r="H15" s="93">
        <f t="shared" si="0"/>
        <v>1</v>
      </c>
      <c r="I15" s="253"/>
      <c r="J15" s="180"/>
      <c r="K15" s="259"/>
      <c r="L15" s="239"/>
      <c r="M15" s="241"/>
      <c r="N15" s="247"/>
      <c r="O15" s="198"/>
      <c r="P15" s="244"/>
      <c r="R15" s="22"/>
      <c r="S15" s="160"/>
      <c r="T15" s="54"/>
      <c r="U15" s="235"/>
      <c r="V15" s="69"/>
      <c r="W15" s="158"/>
      <c r="X15" s="24"/>
      <c r="Y15" s="235"/>
      <c r="Z15" s="69"/>
      <c r="AA15" s="158"/>
      <c r="AB15" s="27"/>
      <c r="AC15" s="233"/>
      <c r="AD15" s="31"/>
      <c r="AE15" s="155"/>
      <c r="AF15" s="27"/>
      <c r="AG15" s="233"/>
      <c r="AH15" s="31"/>
      <c r="AI15" s="155"/>
      <c r="AK15" s="75">
        <v>2926.3047501245601</v>
      </c>
      <c r="AL15" s="134">
        <v>-1064.82618728082</v>
      </c>
    </row>
    <row r="16" spans="1:38" x14ac:dyDescent="0.25">
      <c r="A16" s="163"/>
      <c r="B16" s="163"/>
      <c r="C16" s="183"/>
      <c r="D16" s="92">
        <v>2708.4395602896898</v>
      </c>
      <c r="E16" s="92">
        <v>8.6935257138432593</v>
      </c>
      <c r="F16" s="152"/>
      <c r="G16" s="92">
        <v>321.76697993278498</v>
      </c>
      <c r="H16" s="93">
        <f t="shared" si="0"/>
        <v>0.94541266792502099</v>
      </c>
      <c r="I16" s="253"/>
      <c r="J16" s="180"/>
      <c r="K16" s="259"/>
      <c r="L16" s="239"/>
      <c r="M16" s="241"/>
      <c r="N16" s="247"/>
      <c r="O16" s="198"/>
      <c r="P16" s="244"/>
      <c r="R16" s="22"/>
      <c r="S16" s="160"/>
      <c r="T16" s="54"/>
      <c r="U16" s="235"/>
      <c r="V16" s="69"/>
      <c r="W16" s="158"/>
      <c r="X16" s="24"/>
      <c r="Y16" s="235"/>
      <c r="Z16" s="69"/>
      <c r="AA16" s="158"/>
      <c r="AB16" s="27"/>
      <c r="AC16" s="233"/>
      <c r="AD16" s="31"/>
      <c r="AE16" s="155"/>
      <c r="AF16" s="27"/>
      <c r="AG16" s="233"/>
      <c r="AH16" s="31"/>
      <c r="AI16" s="155"/>
      <c r="AK16" s="75">
        <v>2926.3047501245601</v>
      </c>
      <c r="AL16" s="134">
        <v>-1064.82618728082</v>
      </c>
    </row>
    <row r="17" spans="1:38" ht="14.5" thickBot="1" x14ac:dyDescent="0.3">
      <c r="A17" s="163"/>
      <c r="B17" s="164"/>
      <c r="C17" s="183"/>
      <c r="D17" s="94">
        <v>2743.4996993610998</v>
      </c>
      <c r="E17" s="94">
        <v>10.5189555757924</v>
      </c>
      <c r="F17" s="153"/>
      <c r="G17" s="94">
        <v>399.82882738113398</v>
      </c>
      <c r="H17" s="95">
        <f t="shared" si="0"/>
        <v>0.95419718029038136</v>
      </c>
      <c r="I17" s="254"/>
      <c r="J17" s="181"/>
      <c r="K17" s="260"/>
      <c r="L17" s="240"/>
      <c r="M17" s="241"/>
      <c r="N17" s="247"/>
      <c r="O17" s="198"/>
      <c r="P17" s="244"/>
      <c r="R17" s="47"/>
      <c r="S17" s="162"/>
      <c r="T17" s="56"/>
      <c r="U17" s="237"/>
      <c r="V17" s="70"/>
      <c r="W17" s="159"/>
      <c r="X17" s="48"/>
      <c r="Y17" s="237"/>
      <c r="Z17" s="70"/>
      <c r="AA17" s="159"/>
      <c r="AB17" s="28"/>
      <c r="AC17" s="234"/>
      <c r="AD17" s="61"/>
      <c r="AE17" s="156"/>
      <c r="AF17" s="28"/>
      <c r="AG17" s="234"/>
      <c r="AH17" s="61"/>
      <c r="AI17" s="156"/>
      <c r="AK17" s="75">
        <v>2926.3047501245601</v>
      </c>
      <c r="AL17" s="134">
        <v>-1064.82618728082</v>
      </c>
    </row>
    <row r="18" spans="1:38" x14ac:dyDescent="0.25">
      <c r="A18" s="163"/>
      <c r="B18" s="182" t="s">
        <v>10</v>
      </c>
      <c r="C18" s="194" t="s">
        <v>21</v>
      </c>
      <c r="D18" s="90">
        <v>1709.8895045567001</v>
      </c>
      <c r="E18" s="90">
        <v>14.0240998701615</v>
      </c>
      <c r="F18" s="151">
        <f t="shared" ref="F18" si="3">AVERAGE(E18:E22)</f>
        <v>13.125319421988539</v>
      </c>
      <c r="G18" s="90">
        <v>308.59491372108403</v>
      </c>
      <c r="H18" s="91">
        <f t="shared" si="0"/>
        <v>0.9745912081934428</v>
      </c>
      <c r="I18" s="252">
        <f>AVERAGE(D18:D22)</f>
        <v>1613.8774512269222</v>
      </c>
      <c r="J18" s="179">
        <f>AVERAGE(H18:H22)</f>
        <v>0.96056100067038097</v>
      </c>
      <c r="K18" s="258">
        <f>MAX(D18:D22)</f>
        <v>1883.76792153424</v>
      </c>
      <c r="L18" s="238">
        <f>MIN(D18:D22)</f>
        <v>1068.1981398595001</v>
      </c>
      <c r="M18" s="251">
        <v>2721.11</v>
      </c>
      <c r="N18" s="250">
        <v>0.13313</v>
      </c>
      <c r="O18" s="199">
        <v>3601.87</v>
      </c>
      <c r="P18" s="243"/>
      <c r="Q18" s="17"/>
      <c r="R18" s="22">
        <v>966.66660713667795</v>
      </c>
      <c r="S18" s="160">
        <f>(R18-AL18)/(AK18-AL18)</f>
        <v>0.86598430806937077</v>
      </c>
      <c r="T18" s="54">
        <v>498.41035954666802</v>
      </c>
      <c r="U18" s="235">
        <f>(T18-AL18)/(AK18-AL18)</f>
        <v>0.79755818759996788</v>
      </c>
      <c r="V18" s="58">
        <v>1458.3733905337599</v>
      </c>
      <c r="W18" s="158">
        <f>(V18-AL18)/(AK18-AL18)</f>
        <v>0.93783724707342286</v>
      </c>
      <c r="X18" s="24">
        <v>847.46199908097401</v>
      </c>
      <c r="Y18" s="235">
        <f>(X18-AL18)/(AK18-AL18)</f>
        <v>0.84856498069614739</v>
      </c>
      <c r="Z18" s="69">
        <v>1370.93369292957</v>
      </c>
      <c r="AA18" s="158">
        <f>(Z18-AL18)/(AK18-AL18)</f>
        <v>0.92505971487205618</v>
      </c>
      <c r="AB18" s="27">
        <v>860.89208756362905</v>
      </c>
      <c r="AC18" s="233">
        <f>(AB18-AL18)/(AK18-AL18)</f>
        <v>0.85052751479400213</v>
      </c>
      <c r="AD18" s="63">
        <v>885.81591518984703</v>
      </c>
      <c r="AE18" s="155">
        <f>(AD18-AL18)/(AK18-AL18)</f>
        <v>0.85416962494306614</v>
      </c>
      <c r="AF18" s="27">
        <v>-2700.94153830611</v>
      </c>
      <c r="AG18" s="233">
        <f>(AF18-AL18)/(AK18-AL18)</f>
        <v>0.33003802206409844</v>
      </c>
      <c r="AH18" s="31">
        <v>-4959.4703678467004</v>
      </c>
      <c r="AI18" s="155">
        <f>(AH18-AL18)/(AK18-AL18)</f>
        <v>0</v>
      </c>
      <c r="AK18" s="75">
        <f>MAX(D18:D22,R18,T18,V18,X18,Z18,AB18,AD18,AF18,AH18)</f>
        <v>1883.76792153424</v>
      </c>
      <c r="AL18" s="134">
        <f>MIN(D18:D22,R18,T18,V18,X18,Z18,AB18,AD18,AF18,AH18)</f>
        <v>-4959.4703678467004</v>
      </c>
    </row>
    <row r="19" spans="1:38" x14ac:dyDescent="0.25">
      <c r="A19" s="163"/>
      <c r="B19" s="163"/>
      <c r="C19" s="183"/>
      <c r="D19" s="92">
        <v>1709.8895045567001</v>
      </c>
      <c r="E19" s="92">
        <v>14.602931964397399</v>
      </c>
      <c r="F19" s="152"/>
      <c r="G19" s="92">
        <v>292.116381406784</v>
      </c>
      <c r="H19" s="93">
        <f t="shared" si="0"/>
        <v>0.9745912081934428</v>
      </c>
      <c r="I19" s="253"/>
      <c r="J19" s="180"/>
      <c r="K19" s="259"/>
      <c r="L19" s="239"/>
      <c r="M19" s="241"/>
      <c r="N19" s="247"/>
      <c r="O19" s="198"/>
      <c r="P19" s="244"/>
      <c r="Q19" s="18"/>
      <c r="R19" s="22"/>
      <c r="S19" s="160"/>
      <c r="T19" s="54"/>
      <c r="U19" s="235"/>
      <c r="V19" s="69"/>
      <c r="W19" s="158"/>
      <c r="X19" s="24"/>
      <c r="Y19" s="235"/>
      <c r="Z19" s="69"/>
      <c r="AA19" s="158"/>
      <c r="AB19" s="27"/>
      <c r="AC19" s="233"/>
      <c r="AD19" s="31"/>
      <c r="AE19" s="155"/>
      <c r="AF19" s="27"/>
      <c r="AG19" s="233"/>
      <c r="AH19" s="31"/>
      <c r="AI19" s="155"/>
      <c r="AK19" s="75">
        <v>1883.76792153424</v>
      </c>
      <c r="AL19" s="134">
        <v>-4959.4703678467004</v>
      </c>
    </row>
    <row r="20" spans="1:38" x14ac:dyDescent="0.25">
      <c r="A20" s="163"/>
      <c r="B20" s="163"/>
      <c r="C20" s="183"/>
      <c r="D20" s="92">
        <v>1883.76792153424</v>
      </c>
      <c r="E20" s="92">
        <v>13.196659020015099</v>
      </c>
      <c r="F20" s="152"/>
      <c r="G20" s="92">
        <v>277.19057083129798</v>
      </c>
      <c r="H20" s="93">
        <f t="shared" si="0"/>
        <v>1</v>
      </c>
      <c r="I20" s="253"/>
      <c r="J20" s="180"/>
      <c r="K20" s="259"/>
      <c r="L20" s="239"/>
      <c r="M20" s="241"/>
      <c r="N20" s="247"/>
      <c r="O20" s="198"/>
      <c r="P20" s="244"/>
      <c r="Q20" s="18"/>
      <c r="R20" s="22"/>
      <c r="S20" s="160"/>
      <c r="T20" s="54"/>
      <c r="U20" s="235"/>
      <c r="V20" s="69"/>
      <c r="W20" s="158"/>
      <c r="X20" s="24"/>
      <c r="Y20" s="235"/>
      <c r="Z20" s="69"/>
      <c r="AA20" s="158"/>
      <c r="AB20" s="27"/>
      <c r="AC20" s="233"/>
      <c r="AD20" s="31"/>
      <c r="AE20" s="155"/>
      <c r="AF20" s="27"/>
      <c r="AG20" s="233"/>
      <c r="AH20" s="31"/>
      <c r="AI20" s="155"/>
      <c r="AK20" s="75">
        <v>1883.76792153424</v>
      </c>
      <c r="AL20" s="134">
        <v>-4959.4703678467004</v>
      </c>
    </row>
    <row r="21" spans="1:38" x14ac:dyDescent="0.25">
      <c r="A21" s="163"/>
      <c r="B21" s="163"/>
      <c r="C21" s="183"/>
      <c r="D21" s="92">
        <v>1068.1981398595001</v>
      </c>
      <c r="E21" s="92">
        <v>10.956579173052701</v>
      </c>
      <c r="F21" s="152"/>
      <c r="G21" s="92">
        <v>295.90330100059498</v>
      </c>
      <c r="H21" s="93">
        <f t="shared" si="0"/>
        <v>0.88082107517133978</v>
      </c>
      <c r="I21" s="253"/>
      <c r="J21" s="180"/>
      <c r="K21" s="259"/>
      <c r="L21" s="239"/>
      <c r="M21" s="241"/>
      <c r="N21" s="247"/>
      <c r="O21" s="198"/>
      <c r="P21" s="244"/>
      <c r="Q21" s="18"/>
      <c r="R21" s="22"/>
      <c r="S21" s="160"/>
      <c r="T21" s="54"/>
      <c r="U21" s="235"/>
      <c r="V21" s="69"/>
      <c r="W21" s="158"/>
      <c r="X21" s="24"/>
      <c r="Y21" s="235"/>
      <c r="Z21" s="69"/>
      <c r="AA21" s="158"/>
      <c r="AB21" s="27"/>
      <c r="AC21" s="233"/>
      <c r="AD21" s="31"/>
      <c r="AE21" s="155"/>
      <c r="AF21" s="27"/>
      <c r="AG21" s="233"/>
      <c r="AH21" s="31"/>
      <c r="AI21" s="155"/>
      <c r="AK21" s="75">
        <v>1883.76792153424</v>
      </c>
      <c r="AL21" s="134">
        <v>-4959.4703678467004</v>
      </c>
    </row>
    <row r="22" spans="1:38" ht="14.5" thickBot="1" x14ac:dyDescent="0.3">
      <c r="A22" s="163"/>
      <c r="B22" s="163"/>
      <c r="C22" s="183"/>
      <c r="D22" s="94">
        <v>1697.6421856274701</v>
      </c>
      <c r="E22" s="94">
        <v>12.846327082316</v>
      </c>
      <c r="F22" s="153"/>
      <c r="G22" s="94">
        <v>385.47245454788202</v>
      </c>
      <c r="H22" s="95">
        <f t="shared" si="0"/>
        <v>0.97280151179367924</v>
      </c>
      <c r="I22" s="254"/>
      <c r="J22" s="181"/>
      <c r="K22" s="260"/>
      <c r="L22" s="240"/>
      <c r="M22" s="242"/>
      <c r="N22" s="248"/>
      <c r="O22" s="200"/>
      <c r="P22" s="245"/>
      <c r="Q22" s="16"/>
      <c r="R22" s="22"/>
      <c r="S22" s="160"/>
      <c r="T22" s="54"/>
      <c r="U22" s="235"/>
      <c r="V22" s="69"/>
      <c r="W22" s="158"/>
      <c r="X22" s="24"/>
      <c r="Y22" s="235"/>
      <c r="Z22" s="69"/>
      <c r="AA22" s="158"/>
      <c r="AB22" s="27"/>
      <c r="AC22" s="233"/>
      <c r="AD22" s="31"/>
      <c r="AE22" s="155"/>
      <c r="AF22" s="27"/>
      <c r="AG22" s="233"/>
      <c r="AH22" s="31"/>
      <c r="AI22" s="155"/>
      <c r="AK22" s="75">
        <v>1883.76792153424</v>
      </c>
      <c r="AL22" s="134">
        <v>-4959.4703678467004</v>
      </c>
    </row>
    <row r="23" spans="1:38" x14ac:dyDescent="0.25">
      <c r="A23" s="163"/>
      <c r="B23" s="163"/>
      <c r="C23" s="194" t="s">
        <v>22</v>
      </c>
      <c r="D23" s="90">
        <v>2208.18319636162</v>
      </c>
      <c r="E23" s="90">
        <v>11.772533102035499</v>
      </c>
      <c r="F23" s="151">
        <f t="shared" ref="F23" si="4">AVERAGE(E23:E27)</f>
        <v>11.804265545940803</v>
      </c>
      <c r="G23" s="90">
        <v>294.38203454017599</v>
      </c>
      <c r="H23" s="91">
        <f t="shared" si="0"/>
        <v>0.76339192338752515</v>
      </c>
      <c r="I23" s="264">
        <f>AVERAGE(D23:D27)</f>
        <v>2444.2814264340423</v>
      </c>
      <c r="J23" s="179">
        <f>AVERAGE(H23:H27)</f>
        <v>0.83232368048165262</v>
      </c>
      <c r="K23" s="258">
        <f>MAX(D23:D27)</f>
        <v>3018.5897558921401</v>
      </c>
      <c r="L23" s="238">
        <f>MIN(D23:D27)</f>
        <v>1941.2759192026001</v>
      </c>
      <c r="M23" s="241">
        <v>3643.28</v>
      </c>
      <c r="N23" s="246">
        <v>0</v>
      </c>
      <c r="O23" s="198">
        <v>62.17</v>
      </c>
      <c r="P23" s="243">
        <f>M23/I23</f>
        <v>1.4905321296472702</v>
      </c>
      <c r="R23" s="21">
        <v>1214.0427219416599</v>
      </c>
      <c r="S23" s="160">
        <f>(R23-AL23)/(AK23-AL23)</f>
        <v>0.47314048999415864</v>
      </c>
      <c r="T23" s="59">
        <v>1926.61246713222</v>
      </c>
      <c r="U23" s="235">
        <f>(T23-AL23)/(AK23-AL23)</f>
        <v>0.68118391570316572</v>
      </c>
      <c r="V23" s="71">
        <v>1824.19422826715</v>
      </c>
      <c r="W23" s="158">
        <f>(V23-AL23)/(AK23-AL23)</f>
        <v>0.65128166204675442</v>
      </c>
      <c r="X23" s="23">
        <v>1134.38540257932</v>
      </c>
      <c r="Y23" s="235">
        <f>(X23-AL23)/(AK23-AL23)</f>
        <v>0.4498835643180541</v>
      </c>
      <c r="Z23" s="71">
        <v>941.16918917419298</v>
      </c>
      <c r="AA23" s="158">
        <f>(Z23-AL23)/(AK23-AL23)</f>
        <v>0.39347173486467851</v>
      </c>
      <c r="AB23" s="30">
        <v>2843.4813111015501</v>
      </c>
      <c r="AC23" s="233">
        <f>(AB23-AL23)/(AK23-AL23)</f>
        <v>0.94887495438770209</v>
      </c>
      <c r="AD23" s="136">
        <v>2893.4683928776399</v>
      </c>
      <c r="AE23" s="155">
        <f>(AD23-AL23)/(AK23-AL23)</f>
        <v>0.96346929242139578</v>
      </c>
      <c r="AF23" s="30">
        <v>-406.51124291202501</v>
      </c>
      <c r="AG23" s="233">
        <f>(AF23-AL23)/(AK23-AL23)</f>
        <v>0</v>
      </c>
      <c r="AH23" s="60">
        <v>157.221193569034</v>
      </c>
      <c r="AI23" s="155">
        <f>(AH23-AL23)/(AK23-AL23)</f>
        <v>0.16458855860830959</v>
      </c>
      <c r="AK23" s="75">
        <f>MAX(D23:D27,R23,T23,V23,X23,Z23,AB23,AD23,AF23,AH23)</f>
        <v>3018.5897558921401</v>
      </c>
      <c r="AL23" s="134">
        <f>MIN(D23:D27,R23,T23,V23,X23,Z23,AB23,AD23,AF23,AH23)</f>
        <v>-406.51124291202501</v>
      </c>
    </row>
    <row r="24" spans="1:38" x14ac:dyDescent="0.25">
      <c r="A24" s="163"/>
      <c r="B24" s="163"/>
      <c r="C24" s="183"/>
      <c r="D24" s="92">
        <v>3018.5897558921401</v>
      </c>
      <c r="E24" s="92">
        <v>9.4248555544260295</v>
      </c>
      <c r="F24" s="152"/>
      <c r="G24" s="92">
        <v>348.82917666435202</v>
      </c>
      <c r="H24" s="93">
        <f t="shared" si="0"/>
        <v>1</v>
      </c>
      <c r="I24" s="265"/>
      <c r="J24" s="180"/>
      <c r="K24" s="259"/>
      <c r="L24" s="239"/>
      <c r="M24" s="241"/>
      <c r="N24" s="247"/>
      <c r="O24" s="198"/>
      <c r="P24" s="244"/>
      <c r="R24" s="22"/>
      <c r="S24" s="160"/>
      <c r="T24" s="54"/>
      <c r="U24" s="235"/>
      <c r="V24" s="69"/>
      <c r="W24" s="158"/>
      <c r="X24" s="24"/>
      <c r="Y24" s="235"/>
      <c r="Z24" s="69"/>
      <c r="AA24" s="158"/>
      <c r="AB24" s="27"/>
      <c r="AC24" s="233"/>
      <c r="AD24" s="31"/>
      <c r="AE24" s="155"/>
      <c r="AF24" s="27"/>
      <c r="AG24" s="233"/>
      <c r="AH24" s="31"/>
      <c r="AI24" s="155"/>
      <c r="AK24" s="75">
        <v>3018.5897558921401</v>
      </c>
      <c r="AL24" s="134">
        <v>-406.51124291202501</v>
      </c>
    </row>
    <row r="25" spans="1:38" x14ac:dyDescent="0.25">
      <c r="A25" s="163"/>
      <c r="B25" s="163"/>
      <c r="C25" s="183"/>
      <c r="D25" s="92">
        <v>2721.1797932291001</v>
      </c>
      <c r="E25" s="92">
        <v>9.4774193018674797</v>
      </c>
      <c r="F25" s="152"/>
      <c r="G25" s="92">
        <v>303.39290523529002</v>
      </c>
      <c r="H25" s="93">
        <f t="shared" si="0"/>
        <v>0.91316753498163195</v>
      </c>
      <c r="I25" s="265"/>
      <c r="J25" s="180"/>
      <c r="K25" s="259"/>
      <c r="L25" s="239"/>
      <c r="M25" s="241"/>
      <c r="N25" s="247"/>
      <c r="O25" s="198"/>
      <c r="P25" s="244"/>
      <c r="R25" s="22"/>
      <c r="S25" s="160"/>
      <c r="T25" s="54"/>
      <c r="U25" s="235"/>
      <c r="V25" s="69"/>
      <c r="W25" s="158"/>
      <c r="X25" s="24"/>
      <c r="Y25" s="235"/>
      <c r="Z25" s="69"/>
      <c r="AA25" s="158"/>
      <c r="AB25" s="27"/>
      <c r="AC25" s="233"/>
      <c r="AD25" s="31"/>
      <c r="AE25" s="155"/>
      <c r="AF25" s="27"/>
      <c r="AG25" s="233"/>
      <c r="AH25" s="31"/>
      <c r="AI25" s="155"/>
      <c r="AK25" s="75">
        <v>3018.5897558921401</v>
      </c>
      <c r="AL25" s="134">
        <v>-406.51124291202501</v>
      </c>
    </row>
    <row r="26" spans="1:38" x14ac:dyDescent="0.25">
      <c r="A26" s="163"/>
      <c r="B26" s="163"/>
      <c r="C26" s="183"/>
      <c r="D26" s="92">
        <v>2332.1784674847499</v>
      </c>
      <c r="E26" s="92">
        <v>14.6175371847654</v>
      </c>
      <c r="F26" s="152"/>
      <c r="G26" s="92">
        <v>277.79692411422701</v>
      </c>
      <c r="H26" s="93">
        <f t="shared" si="0"/>
        <v>0.79959385470762967</v>
      </c>
      <c r="I26" s="265"/>
      <c r="J26" s="180"/>
      <c r="K26" s="259"/>
      <c r="L26" s="239"/>
      <c r="M26" s="241"/>
      <c r="N26" s="247"/>
      <c r="O26" s="198"/>
      <c r="P26" s="244"/>
      <c r="R26" s="22"/>
      <c r="S26" s="160"/>
      <c r="T26" s="54"/>
      <c r="U26" s="235"/>
      <c r="V26" s="69"/>
      <c r="W26" s="158"/>
      <c r="X26" s="24"/>
      <c r="Y26" s="235"/>
      <c r="Z26" s="69"/>
      <c r="AA26" s="158"/>
      <c r="AB26" s="27"/>
      <c r="AC26" s="233"/>
      <c r="AD26" s="31"/>
      <c r="AE26" s="155"/>
      <c r="AF26" s="27"/>
      <c r="AG26" s="233"/>
      <c r="AH26" s="31"/>
      <c r="AI26" s="155"/>
      <c r="AK26" s="75">
        <v>3018.5897558921401</v>
      </c>
      <c r="AL26" s="134">
        <v>-406.51124291202501</v>
      </c>
    </row>
    <row r="27" spans="1:38" ht="14.5" thickBot="1" x14ac:dyDescent="0.3">
      <c r="A27" s="163"/>
      <c r="B27" s="163"/>
      <c r="C27" s="183"/>
      <c r="D27" s="94">
        <v>1941.2759192026001</v>
      </c>
      <c r="E27" s="94">
        <v>13.7289825866096</v>
      </c>
      <c r="F27" s="153"/>
      <c r="G27" s="94">
        <v>260.90941023826599</v>
      </c>
      <c r="H27" s="95">
        <f t="shared" si="0"/>
        <v>0.6854650893314761</v>
      </c>
      <c r="I27" s="266"/>
      <c r="J27" s="181"/>
      <c r="K27" s="260"/>
      <c r="L27" s="240"/>
      <c r="M27" s="241"/>
      <c r="N27" s="247"/>
      <c r="O27" s="198"/>
      <c r="P27" s="245"/>
      <c r="R27" s="47"/>
      <c r="S27" s="160"/>
      <c r="T27" s="56"/>
      <c r="U27" s="235"/>
      <c r="V27" s="70"/>
      <c r="W27" s="158"/>
      <c r="X27" s="48"/>
      <c r="Y27" s="235"/>
      <c r="Z27" s="70"/>
      <c r="AA27" s="158"/>
      <c r="AB27" s="28"/>
      <c r="AC27" s="233"/>
      <c r="AD27" s="61"/>
      <c r="AE27" s="155"/>
      <c r="AF27" s="28"/>
      <c r="AG27" s="233"/>
      <c r="AH27" s="61"/>
      <c r="AI27" s="155"/>
      <c r="AK27" s="75">
        <v>3018.5897558921401</v>
      </c>
      <c r="AL27" s="134">
        <v>-406.51124291202501</v>
      </c>
    </row>
    <row r="28" spans="1:38" x14ac:dyDescent="0.25">
      <c r="A28" s="163"/>
      <c r="B28" s="163"/>
      <c r="C28" s="194" t="s">
        <v>23</v>
      </c>
      <c r="D28" s="90">
        <v>2521.1318803772601</v>
      </c>
      <c r="E28" s="90">
        <v>11.2111528547186</v>
      </c>
      <c r="F28" s="151">
        <f t="shared" ref="F28" si="5">AVERAGE(E28:E32)</f>
        <v>11.739729954010841</v>
      </c>
      <c r="G28" s="90">
        <v>426.12934708595202</v>
      </c>
      <c r="H28" s="91">
        <f t="shared" si="0"/>
        <v>0.91600320804392465</v>
      </c>
      <c r="I28" s="252">
        <f>AVERAGE(D28:D32)</f>
        <v>2651.134770188658</v>
      </c>
      <c r="J28" s="179">
        <f>AVERAGE(H28:H32)</f>
        <v>0.95601000258219249</v>
      </c>
      <c r="K28" s="258">
        <f>MAX(D28:D32)</f>
        <v>2794.08115849879</v>
      </c>
      <c r="L28" s="238">
        <f>MIN(D28:D32)</f>
        <v>2516.17448199403</v>
      </c>
      <c r="M28" s="251">
        <v>3008.22</v>
      </c>
      <c r="N28" s="250">
        <v>0</v>
      </c>
      <c r="O28" s="199">
        <v>2811.38</v>
      </c>
      <c r="P28" s="243">
        <f>M28/I28</f>
        <v>1.134691466396456</v>
      </c>
      <c r="Q28" s="17"/>
      <c r="R28" s="22">
        <v>1084.24708109875</v>
      </c>
      <c r="S28" s="160">
        <f>(R28-AL28)/(AK28-AL28)</f>
        <v>0.47381953794787951</v>
      </c>
      <c r="T28" s="54">
        <v>2060.0477938920098</v>
      </c>
      <c r="U28" s="235">
        <f>(T28-AL28)/(AK28-AL28)</f>
        <v>0.77411023674427371</v>
      </c>
      <c r="V28" s="69">
        <v>1858.8071145049701</v>
      </c>
      <c r="W28" s="158">
        <f>(V28-AL28)/(AK28-AL28)</f>
        <v>0.71218088636861099</v>
      </c>
      <c r="X28" s="25">
        <v>2408.7132290043401</v>
      </c>
      <c r="Y28" s="235">
        <f>(X28-AL28)/(AK28-AL28)</f>
        <v>0.88140774717170589</v>
      </c>
      <c r="Z28" s="69">
        <v>1418.1158661404099</v>
      </c>
      <c r="AA28" s="158">
        <f>(Z28-AL28)/(AK28-AL28)</f>
        <v>0.57656356083291349</v>
      </c>
      <c r="AB28" s="29">
        <v>2557.4313998672901</v>
      </c>
      <c r="AC28" s="233">
        <f>(AB28-AL28)/(AK28-AL28)</f>
        <v>0.92717393986521179</v>
      </c>
      <c r="AD28" s="31">
        <v>2204.7581369719801</v>
      </c>
      <c r="AE28" s="155">
        <f>(AD28-AL28)/(AK28-AL28)</f>
        <v>0.81864306960330957</v>
      </c>
      <c r="AF28" s="27">
        <v>1862.57698479685</v>
      </c>
      <c r="AG28" s="233">
        <f>(AF28-AL28)/(AK28-AL28)</f>
        <v>0.71334101770432168</v>
      </c>
      <c r="AH28" s="31">
        <v>-455.439112040395</v>
      </c>
      <c r="AI28" s="155">
        <f>(AH28-AL28)/(AK28-AL28)</f>
        <v>0</v>
      </c>
      <c r="AK28" s="75">
        <f>MAX(D28:D32,R28,T28,V28,X28,Z28,AB28,AD28,AF28,AH28)</f>
        <v>2794.08115849879</v>
      </c>
      <c r="AL28" s="134">
        <f>MIN(D28:D32,R28,T28,V28,X28,Z28,AB28,AD28,AF28,AH28)</f>
        <v>-455.439112040395</v>
      </c>
    </row>
    <row r="29" spans="1:38" x14ac:dyDescent="0.25">
      <c r="A29" s="163"/>
      <c r="B29" s="163"/>
      <c r="C29" s="183"/>
      <c r="D29" s="92">
        <v>2516.17448199403</v>
      </c>
      <c r="E29" s="92">
        <v>13.5677302623617</v>
      </c>
      <c r="F29" s="152"/>
      <c r="G29" s="92">
        <v>393.54681634902897</v>
      </c>
      <c r="H29" s="93">
        <f t="shared" si="0"/>
        <v>0.91447762950601696</v>
      </c>
      <c r="I29" s="253"/>
      <c r="J29" s="180"/>
      <c r="K29" s="259"/>
      <c r="L29" s="239"/>
      <c r="M29" s="241"/>
      <c r="N29" s="247"/>
      <c r="O29" s="198"/>
      <c r="P29" s="244"/>
      <c r="Q29" s="18"/>
      <c r="R29" s="22"/>
      <c r="S29" s="160"/>
      <c r="T29" s="54"/>
      <c r="U29" s="235"/>
      <c r="V29" s="69"/>
      <c r="W29" s="158"/>
      <c r="X29" s="24"/>
      <c r="Y29" s="235"/>
      <c r="Z29" s="69"/>
      <c r="AA29" s="158"/>
      <c r="AB29" s="27"/>
      <c r="AC29" s="233"/>
      <c r="AD29" s="31"/>
      <c r="AE29" s="155"/>
      <c r="AF29" s="27"/>
      <c r="AG29" s="233"/>
      <c r="AH29" s="31"/>
      <c r="AI29" s="155"/>
      <c r="AK29" s="75">
        <v>2794.08115849879</v>
      </c>
      <c r="AL29" s="134">
        <v>-455.439112040395</v>
      </c>
    </row>
    <row r="30" spans="1:38" x14ac:dyDescent="0.25">
      <c r="A30" s="163"/>
      <c r="B30" s="163"/>
      <c r="C30" s="183"/>
      <c r="D30" s="92">
        <v>2675.3349031457801</v>
      </c>
      <c r="E30" s="92">
        <v>11.4569421330013</v>
      </c>
      <c r="F30" s="152"/>
      <c r="G30" s="92">
        <v>424.003467559814</v>
      </c>
      <c r="H30" s="93">
        <f t="shared" si="0"/>
        <v>0.96345729662633983</v>
      </c>
      <c r="I30" s="253"/>
      <c r="J30" s="180"/>
      <c r="K30" s="259"/>
      <c r="L30" s="239"/>
      <c r="M30" s="241"/>
      <c r="N30" s="247"/>
      <c r="O30" s="198"/>
      <c r="P30" s="244"/>
      <c r="Q30" s="18"/>
      <c r="R30" s="22"/>
      <c r="S30" s="160"/>
      <c r="T30" s="54"/>
      <c r="U30" s="235"/>
      <c r="V30" s="69"/>
      <c r="W30" s="158"/>
      <c r="X30" s="24"/>
      <c r="Y30" s="235"/>
      <c r="Z30" s="69"/>
      <c r="AA30" s="158"/>
      <c r="AB30" s="27"/>
      <c r="AC30" s="233"/>
      <c r="AD30" s="31"/>
      <c r="AE30" s="155"/>
      <c r="AF30" s="27"/>
      <c r="AG30" s="233"/>
      <c r="AH30" s="31"/>
      <c r="AI30" s="155"/>
      <c r="AK30" s="75">
        <v>2794.08115849879</v>
      </c>
      <c r="AL30" s="134">
        <v>-455.439112040395</v>
      </c>
    </row>
    <row r="31" spans="1:38" x14ac:dyDescent="0.25">
      <c r="A31" s="163"/>
      <c r="B31" s="163"/>
      <c r="C31" s="183"/>
      <c r="D31" s="92">
        <v>2748.95142692743</v>
      </c>
      <c r="E31" s="92">
        <v>11.6500117649903</v>
      </c>
      <c r="F31" s="152"/>
      <c r="G31" s="92">
        <v>431.15195322036698</v>
      </c>
      <c r="H31" s="93">
        <f t="shared" si="0"/>
        <v>0.98611187873468109</v>
      </c>
      <c r="I31" s="253"/>
      <c r="J31" s="180"/>
      <c r="K31" s="259"/>
      <c r="L31" s="239"/>
      <c r="M31" s="241"/>
      <c r="N31" s="247"/>
      <c r="O31" s="198"/>
      <c r="P31" s="244"/>
      <c r="Q31" s="18"/>
      <c r="R31" s="22"/>
      <c r="S31" s="160"/>
      <c r="T31" s="54"/>
      <c r="U31" s="235"/>
      <c r="V31" s="69"/>
      <c r="W31" s="158"/>
      <c r="X31" s="24"/>
      <c r="Y31" s="235"/>
      <c r="Z31" s="69"/>
      <c r="AA31" s="158"/>
      <c r="AB31" s="27"/>
      <c r="AC31" s="233"/>
      <c r="AD31" s="31"/>
      <c r="AE31" s="155"/>
      <c r="AF31" s="27"/>
      <c r="AG31" s="233"/>
      <c r="AH31" s="31"/>
      <c r="AI31" s="155"/>
      <c r="AK31" s="75">
        <v>2794.08115849879</v>
      </c>
      <c r="AL31" s="134">
        <v>-455.439112040395</v>
      </c>
    </row>
    <row r="32" spans="1:38" ht="14.5" thickBot="1" x14ac:dyDescent="0.3">
      <c r="A32" s="163"/>
      <c r="B32" s="164"/>
      <c r="C32" s="183"/>
      <c r="D32" s="94">
        <v>2794.08115849879</v>
      </c>
      <c r="E32" s="94">
        <v>10.8128127549823</v>
      </c>
      <c r="F32" s="153"/>
      <c r="G32" s="94">
        <v>410.98944830894402</v>
      </c>
      <c r="H32" s="95">
        <f t="shared" si="0"/>
        <v>1</v>
      </c>
      <c r="I32" s="254"/>
      <c r="J32" s="181"/>
      <c r="K32" s="260"/>
      <c r="L32" s="240"/>
      <c r="M32" s="242"/>
      <c r="N32" s="248"/>
      <c r="O32" s="200"/>
      <c r="P32" s="245"/>
      <c r="Q32" s="16"/>
      <c r="R32" s="22"/>
      <c r="S32" s="160"/>
      <c r="T32" s="54"/>
      <c r="U32" s="235"/>
      <c r="V32" s="69"/>
      <c r="W32" s="158"/>
      <c r="X32" s="24"/>
      <c r="Y32" s="235"/>
      <c r="Z32" s="69"/>
      <c r="AA32" s="158"/>
      <c r="AB32" s="27"/>
      <c r="AC32" s="233"/>
      <c r="AD32" s="31"/>
      <c r="AE32" s="155"/>
      <c r="AF32" s="27"/>
      <c r="AG32" s="233"/>
      <c r="AH32" s="31"/>
      <c r="AI32" s="155"/>
      <c r="AK32" s="75">
        <v>2794.08115849879</v>
      </c>
      <c r="AL32" s="134">
        <v>-455.439112040395</v>
      </c>
    </row>
    <row r="33" spans="1:38" x14ac:dyDescent="0.25">
      <c r="A33" s="163"/>
      <c r="B33" s="182" t="s">
        <v>11</v>
      </c>
      <c r="C33" s="194" t="s">
        <v>21</v>
      </c>
      <c r="D33" s="90">
        <v>4079.5387860792998</v>
      </c>
      <c r="E33" s="90">
        <v>15.0493056557395</v>
      </c>
      <c r="F33" s="151">
        <f t="shared" ref="F33" si="6">AVERAGE(E33:E37)</f>
        <v>12.661218602613923</v>
      </c>
      <c r="G33" s="90">
        <v>331.15143227577198</v>
      </c>
      <c r="H33" s="91">
        <f t="shared" si="0"/>
        <v>0.98376349395049512</v>
      </c>
      <c r="I33" s="255">
        <f>AVERAGE(D33:D37)</f>
        <v>3859.6598342306943</v>
      </c>
      <c r="J33" s="179">
        <f>AVERAGE(H33:H37)</f>
        <v>0.88269634129307961</v>
      </c>
      <c r="K33" s="258">
        <f>MAX(D33:D37)</f>
        <v>4079.5387860792998</v>
      </c>
      <c r="L33" s="238">
        <f>MIN(D33:D37)</f>
        <v>3713.6443967370301</v>
      </c>
      <c r="M33" s="241">
        <v>4852.88</v>
      </c>
      <c r="N33" s="250">
        <v>0</v>
      </c>
      <c r="O33" s="198">
        <v>396.15</v>
      </c>
      <c r="P33" s="244">
        <f>M33/I33</f>
        <v>1.257333601516019</v>
      </c>
      <c r="R33" s="21">
        <v>3157.6019193557499</v>
      </c>
      <c r="S33" s="160">
        <f>(R33-AL33)/(AK33-AL33)</f>
        <v>0.55999608344453489</v>
      </c>
      <c r="T33" s="52">
        <v>3116.4640552230899</v>
      </c>
      <c r="U33" s="235">
        <f>(T33-AL33)/(AK33-AL33)</f>
        <v>0.54108710302899121</v>
      </c>
      <c r="V33" s="71">
        <v>3145.5381677467099</v>
      </c>
      <c r="W33" s="158">
        <f>(V33-AL33)/(AK33-AL33)</f>
        <v>0.55445099140529552</v>
      </c>
      <c r="X33" s="23">
        <v>1939.28965241692</v>
      </c>
      <c r="Y33" s="235">
        <f>(X33-AL33)/(AK33-AL33)</f>
        <v>0</v>
      </c>
      <c r="Z33" s="59">
        <v>3089.0790183110598</v>
      </c>
      <c r="AA33" s="158">
        <f>(Z33-AL33)/(AK33-AL33)</f>
        <v>0.5284995966631123</v>
      </c>
      <c r="AB33" s="30">
        <v>3531.7531927867699</v>
      </c>
      <c r="AC33" s="233">
        <f>(AB33-AL33)/(AK33-AL33)</f>
        <v>0.73197436308839936</v>
      </c>
      <c r="AD33" s="135">
        <v>3994.7257026957</v>
      </c>
      <c r="AE33" s="155">
        <f>(AD33-AL33)/(AK33-AL33)</f>
        <v>0.94477924023448512</v>
      </c>
      <c r="AF33" s="137">
        <v>4114.8624875785399</v>
      </c>
      <c r="AG33" s="233">
        <f>(AF33-AL33)/(AK33-AL33)</f>
        <v>1</v>
      </c>
      <c r="AH33" s="60">
        <v>3047.1580690492301</v>
      </c>
      <c r="AI33" s="155">
        <f>(AH33-AL33)/(AK33-AL33)</f>
        <v>0.50923067190715698</v>
      </c>
      <c r="AK33" s="75">
        <f>MAX(D33:D37,R33,T33,V33,X33,Z33,AB33,AD33,AF33,AH33)</f>
        <v>4114.8624875785399</v>
      </c>
      <c r="AL33" s="134">
        <f>MIN(D33:D37,R33,T33,V33,X33,Z33,AB33,AD33,AF33,AH33)</f>
        <v>1939.28965241692</v>
      </c>
    </row>
    <row r="34" spans="1:38" x14ac:dyDescent="0.25">
      <c r="A34" s="163"/>
      <c r="B34" s="163"/>
      <c r="C34" s="183"/>
      <c r="D34" s="92">
        <v>3945.1730492597999</v>
      </c>
      <c r="E34" s="92">
        <v>12.7163594818115</v>
      </c>
      <c r="F34" s="152"/>
      <c r="G34" s="92">
        <v>317.97668647766102</v>
      </c>
      <c r="H34" s="93">
        <f t="shared" si="0"/>
        <v>0.92200240985904103</v>
      </c>
      <c r="I34" s="256"/>
      <c r="J34" s="180"/>
      <c r="K34" s="259"/>
      <c r="L34" s="239"/>
      <c r="M34" s="241"/>
      <c r="N34" s="247"/>
      <c r="O34" s="198"/>
      <c r="P34" s="244"/>
      <c r="R34" s="22"/>
      <c r="S34" s="160"/>
      <c r="T34" s="54"/>
      <c r="U34" s="235"/>
      <c r="V34" s="69"/>
      <c r="W34" s="158"/>
      <c r="X34" s="24"/>
      <c r="Y34" s="235"/>
      <c r="Z34" s="69"/>
      <c r="AA34" s="158"/>
      <c r="AB34" s="27"/>
      <c r="AC34" s="233"/>
      <c r="AD34" s="31"/>
      <c r="AE34" s="155"/>
      <c r="AF34" s="27"/>
      <c r="AG34" s="233"/>
      <c r="AH34" s="31"/>
      <c r="AI34" s="155"/>
      <c r="AK34" s="75">
        <v>4114.8624875785399</v>
      </c>
      <c r="AL34" s="134">
        <v>1939.28965241692</v>
      </c>
    </row>
    <row r="35" spans="1:38" x14ac:dyDescent="0.25">
      <c r="A35" s="163"/>
      <c r="B35" s="163"/>
      <c r="C35" s="183"/>
      <c r="D35" s="92">
        <v>3753.5824669507101</v>
      </c>
      <c r="E35" s="92">
        <v>12.9631884098052</v>
      </c>
      <c r="F35" s="152"/>
      <c r="G35" s="92">
        <v>233.38916397094701</v>
      </c>
      <c r="H35" s="93">
        <f t="shared" si="0"/>
        <v>0.83393797955700666</v>
      </c>
      <c r="I35" s="256"/>
      <c r="J35" s="180"/>
      <c r="K35" s="259"/>
      <c r="L35" s="239"/>
      <c r="M35" s="241"/>
      <c r="N35" s="247"/>
      <c r="O35" s="198"/>
      <c r="P35" s="244"/>
      <c r="R35" s="22"/>
      <c r="S35" s="160"/>
      <c r="T35" s="54"/>
      <c r="U35" s="235"/>
      <c r="V35" s="69"/>
      <c r="W35" s="158"/>
      <c r="X35" s="24"/>
      <c r="Y35" s="235"/>
      <c r="Z35" s="69"/>
      <c r="AA35" s="158"/>
      <c r="AB35" s="27"/>
      <c r="AC35" s="233"/>
      <c r="AD35" s="31"/>
      <c r="AE35" s="155"/>
      <c r="AF35" s="27"/>
      <c r="AG35" s="233"/>
      <c r="AH35" s="31"/>
      <c r="AI35" s="155"/>
      <c r="AK35" s="75">
        <v>4114.8624875785399</v>
      </c>
      <c r="AL35" s="134">
        <v>1939.28965241692</v>
      </c>
    </row>
    <row r="36" spans="1:38" x14ac:dyDescent="0.25">
      <c r="A36" s="163"/>
      <c r="B36" s="163"/>
      <c r="C36" s="183"/>
      <c r="D36" s="92">
        <v>3713.6443967370301</v>
      </c>
      <c r="E36" s="92">
        <v>12.7260643720626</v>
      </c>
      <c r="F36" s="152"/>
      <c r="G36" s="92">
        <v>254.57705116271899</v>
      </c>
      <c r="H36" s="93">
        <f t="shared" si="0"/>
        <v>0.8155804832837491</v>
      </c>
      <c r="I36" s="256"/>
      <c r="J36" s="180"/>
      <c r="K36" s="259"/>
      <c r="L36" s="239"/>
      <c r="M36" s="241"/>
      <c r="N36" s="247"/>
      <c r="O36" s="198"/>
      <c r="P36" s="244"/>
      <c r="R36" s="22"/>
      <c r="S36" s="160"/>
      <c r="T36" s="54"/>
      <c r="U36" s="235"/>
      <c r="V36" s="69"/>
      <c r="W36" s="158"/>
      <c r="X36" s="24"/>
      <c r="Y36" s="235"/>
      <c r="Z36" s="69"/>
      <c r="AA36" s="158"/>
      <c r="AB36" s="27"/>
      <c r="AC36" s="233"/>
      <c r="AD36" s="31"/>
      <c r="AE36" s="155"/>
      <c r="AF36" s="27"/>
      <c r="AG36" s="233"/>
      <c r="AH36" s="31"/>
      <c r="AI36" s="155"/>
      <c r="AK36" s="75">
        <v>4114.8624875785399</v>
      </c>
      <c r="AL36" s="134">
        <v>1939.28965241692</v>
      </c>
    </row>
    <row r="37" spans="1:38" ht="14.5" thickBot="1" x14ac:dyDescent="0.3">
      <c r="A37" s="163"/>
      <c r="B37" s="163"/>
      <c r="C37" s="183"/>
      <c r="D37" s="94">
        <v>3806.3604721266302</v>
      </c>
      <c r="E37" s="94">
        <v>9.8511750936508093</v>
      </c>
      <c r="F37" s="153"/>
      <c r="G37" s="94">
        <v>295.62686228752102</v>
      </c>
      <c r="H37" s="95">
        <f t="shared" si="0"/>
        <v>0.85819733981510593</v>
      </c>
      <c r="I37" s="257"/>
      <c r="J37" s="181"/>
      <c r="K37" s="260"/>
      <c r="L37" s="240"/>
      <c r="M37" s="241"/>
      <c r="N37" s="248"/>
      <c r="O37" s="198"/>
      <c r="P37" s="244"/>
      <c r="R37" s="47"/>
      <c r="S37" s="160"/>
      <c r="T37" s="56"/>
      <c r="U37" s="235"/>
      <c r="V37" s="70"/>
      <c r="W37" s="158"/>
      <c r="X37" s="48"/>
      <c r="Y37" s="235"/>
      <c r="Z37" s="70"/>
      <c r="AA37" s="158"/>
      <c r="AB37" s="28"/>
      <c r="AC37" s="233"/>
      <c r="AD37" s="61"/>
      <c r="AE37" s="155"/>
      <c r="AF37" s="28"/>
      <c r="AG37" s="233"/>
      <c r="AH37" s="61"/>
      <c r="AI37" s="155"/>
      <c r="AK37" s="75">
        <v>4114.8624875785399</v>
      </c>
      <c r="AL37" s="134">
        <v>1939.28965241692</v>
      </c>
    </row>
    <row r="38" spans="1:38" x14ac:dyDescent="0.25">
      <c r="A38" s="163"/>
      <c r="B38" s="163"/>
      <c r="C38" s="194" t="s">
        <v>22</v>
      </c>
      <c r="D38" s="90">
        <v>3124.6730067390299</v>
      </c>
      <c r="E38" s="90">
        <v>11.3933577433876</v>
      </c>
      <c r="F38" s="151">
        <f t="shared" ref="F38" si="7">AVERAGE(E38:E42)</f>
        <v>10.73896186451424</v>
      </c>
      <c r="G38" s="90">
        <v>262.11194944381702</v>
      </c>
      <c r="H38" s="91">
        <f t="shared" si="0"/>
        <v>1</v>
      </c>
      <c r="I38" s="252">
        <f>AVERAGE(D38:D42)</f>
        <v>2960.7471561943103</v>
      </c>
      <c r="J38" s="179">
        <f>AVERAGE(H38:H42)</f>
        <v>0.95110413712890263</v>
      </c>
      <c r="K38" s="258">
        <f>MAX(D38:D42)</f>
        <v>3124.6730067390299</v>
      </c>
      <c r="L38" s="238">
        <f>MIN(D38:D42)</f>
        <v>2725.2877817806698</v>
      </c>
      <c r="M38" s="251">
        <v>3718.22</v>
      </c>
      <c r="N38" s="250">
        <v>8.7376999999999996E-2</v>
      </c>
      <c r="O38" s="199">
        <v>3602.66</v>
      </c>
      <c r="P38" s="243"/>
      <c r="Q38" s="17"/>
      <c r="R38" s="22">
        <v>2058.7591818733499</v>
      </c>
      <c r="S38" s="160">
        <f>(R38-AL38)/(AK38-AL38)</f>
        <v>0.68205883306476567</v>
      </c>
      <c r="T38" s="54">
        <v>2510.3406481234301</v>
      </c>
      <c r="U38" s="235">
        <f>(T38-AL38)/(AK38-AL38)</f>
        <v>0.81675671857532028</v>
      </c>
      <c r="V38" s="58">
        <v>2829.2399927043998</v>
      </c>
      <c r="W38" s="158">
        <f>(V38-AL38)/(AK38-AL38)</f>
        <v>0.91187813213211655</v>
      </c>
      <c r="X38" s="24">
        <v>2601.75077013081</v>
      </c>
      <c r="Y38" s="235">
        <f>(X38-AL38)/(AK38-AL38)</f>
        <v>0.84402256332067838</v>
      </c>
      <c r="Z38" s="69">
        <v>2503.7921452883602</v>
      </c>
      <c r="AA38" s="158">
        <f>(Z38-AL38)/(AK38-AL38)</f>
        <v>0.81480342874598233</v>
      </c>
      <c r="AB38" s="27">
        <v>2505.4223717178202</v>
      </c>
      <c r="AC38" s="233">
        <f>(AB38-AL38)/(AK38-AL38)</f>
        <v>0.81528969328375245</v>
      </c>
      <c r="AD38" s="63">
        <v>2591.0068477271002</v>
      </c>
      <c r="AE38" s="155">
        <f>(AD38-AL38)/(AK38-AL38)</f>
        <v>0.84081786220243593</v>
      </c>
      <c r="AF38" s="27">
        <v>2409.4444221668</v>
      </c>
      <c r="AG38" s="233">
        <f>(AF38-AL38)/(AK38-AL38)</f>
        <v>0.78666135526201064</v>
      </c>
      <c r="AH38" s="31">
        <v>-227.877514291203</v>
      </c>
      <c r="AI38" s="155">
        <f>(AH38-AL38)/(AK38-AL38)</f>
        <v>0</v>
      </c>
      <c r="AK38" s="75">
        <f>MAX(D38:D42,R38,T38,V38,X38,Z38,AB38,AD38,AF38,AH38)</f>
        <v>3124.6730067390299</v>
      </c>
      <c r="AL38" s="134">
        <f>MIN(D38:D42,R38,T38,V38,X38,Z38,AB38,AD38,AF38,AH38)</f>
        <v>-227.877514291203</v>
      </c>
    </row>
    <row r="39" spans="1:38" x14ac:dyDescent="0.25">
      <c r="A39" s="163"/>
      <c r="B39" s="163"/>
      <c r="C39" s="183"/>
      <c r="D39" s="92">
        <v>2725.2877817806698</v>
      </c>
      <c r="E39" s="92">
        <v>10.721579098701399</v>
      </c>
      <c r="F39" s="152"/>
      <c r="G39" s="92">
        <v>214.48534846305799</v>
      </c>
      <c r="H39" s="93">
        <f t="shared" si="0"/>
        <v>0.88087122850109068</v>
      </c>
      <c r="I39" s="253"/>
      <c r="J39" s="180"/>
      <c r="K39" s="259"/>
      <c r="L39" s="239"/>
      <c r="M39" s="241"/>
      <c r="N39" s="247"/>
      <c r="O39" s="198"/>
      <c r="P39" s="244"/>
      <c r="Q39" s="18"/>
      <c r="R39" s="22"/>
      <c r="S39" s="160"/>
      <c r="T39" s="54"/>
      <c r="U39" s="235"/>
      <c r="V39" s="69"/>
      <c r="W39" s="158"/>
      <c r="X39" s="24"/>
      <c r="Y39" s="235"/>
      <c r="Z39" s="69"/>
      <c r="AA39" s="158"/>
      <c r="AB39" s="27"/>
      <c r="AC39" s="233"/>
      <c r="AD39" s="31"/>
      <c r="AE39" s="155"/>
      <c r="AF39" s="27"/>
      <c r="AG39" s="233"/>
      <c r="AH39" s="31"/>
      <c r="AI39" s="155"/>
      <c r="AK39" s="75">
        <v>3124.6730067390299</v>
      </c>
      <c r="AL39" s="134">
        <v>-227.877514291203</v>
      </c>
    </row>
    <row r="40" spans="1:38" x14ac:dyDescent="0.25">
      <c r="A40" s="163"/>
      <c r="B40" s="163"/>
      <c r="C40" s="183"/>
      <c r="D40" s="92">
        <v>3092.3537883069698</v>
      </c>
      <c r="E40" s="92">
        <v>10.6354104435962</v>
      </c>
      <c r="F40" s="152"/>
      <c r="G40" s="92">
        <v>244.68015027046201</v>
      </c>
      <c r="H40" s="93">
        <f t="shared" si="0"/>
        <v>0.99035981166299369</v>
      </c>
      <c r="I40" s="253"/>
      <c r="J40" s="180"/>
      <c r="K40" s="259"/>
      <c r="L40" s="239"/>
      <c r="M40" s="241"/>
      <c r="N40" s="247"/>
      <c r="O40" s="198"/>
      <c r="P40" s="244"/>
      <c r="Q40" s="18"/>
      <c r="R40" s="22"/>
      <c r="S40" s="160"/>
      <c r="T40" s="54"/>
      <c r="U40" s="235"/>
      <c r="V40" s="69"/>
      <c r="W40" s="158"/>
      <c r="X40" s="24"/>
      <c r="Y40" s="235"/>
      <c r="Z40" s="69"/>
      <c r="AA40" s="158"/>
      <c r="AB40" s="27"/>
      <c r="AC40" s="233"/>
      <c r="AD40" s="31"/>
      <c r="AE40" s="155"/>
      <c r="AF40" s="27"/>
      <c r="AG40" s="233"/>
      <c r="AH40" s="31"/>
      <c r="AI40" s="155"/>
      <c r="AK40" s="75">
        <v>3124.6730067390299</v>
      </c>
      <c r="AL40" s="134">
        <v>-227.877514291203</v>
      </c>
    </row>
    <row r="41" spans="1:38" x14ac:dyDescent="0.25">
      <c r="A41" s="163"/>
      <c r="B41" s="163"/>
      <c r="C41" s="183"/>
      <c r="D41" s="92">
        <v>3114.24360533559</v>
      </c>
      <c r="E41" s="92">
        <v>10.116141898291399</v>
      </c>
      <c r="F41" s="152"/>
      <c r="G41" s="92">
        <v>212.49771976470899</v>
      </c>
      <c r="H41" s="93">
        <f t="shared" si="0"/>
        <v>0.99688911432116611</v>
      </c>
      <c r="I41" s="253"/>
      <c r="J41" s="180"/>
      <c r="K41" s="259"/>
      <c r="L41" s="239"/>
      <c r="M41" s="241"/>
      <c r="N41" s="247"/>
      <c r="O41" s="198"/>
      <c r="P41" s="244"/>
      <c r="Q41" s="18"/>
      <c r="R41" s="22"/>
      <c r="S41" s="160"/>
      <c r="T41" s="54"/>
      <c r="U41" s="235"/>
      <c r="V41" s="69"/>
      <c r="W41" s="158"/>
      <c r="X41" s="24"/>
      <c r="Y41" s="235"/>
      <c r="Z41" s="69"/>
      <c r="AA41" s="158"/>
      <c r="AB41" s="27"/>
      <c r="AC41" s="233"/>
      <c r="AD41" s="31"/>
      <c r="AE41" s="155"/>
      <c r="AF41" s="27"/>
      <c r="AG41" s="233"/>
      <c r="AH41" s="31"/>
      <c r="AI41" s="155"/>
      <c r="AK41" s="75">
        <v>3124.6730067390299</v>
      </c>
      <c r="AL41" s="134">
        <v>-227.877514291203</v>
      </c>
    </row>
    <row r="42" spans="1:38" ht="14.5" thickBot="1" x14ac:dyDescent="0.3">
      <c r="A42" s="163"/>
      <c r="B42" s="163"/>
      <c r="C42" s="183"/>
      <c r="D42" s="94">
        <v>2747.17759880929</v>
      </c>
      <c r="E42" s="94">
        <v>10.8283201385946</v>
      </c>
      <c r="F42" s="153"/>
      <c r="G42" s="94">
        <v>184.13023138046199</v>
      </c>
      <c r="H42" s="95">
        <f t="shared" si="0"/>
        <v>0.8874005311592631</v>
      </c>
      <c r="I42" s="254"/>
      <c r="J42" s="181"/>
      <c r="K42" s="260"/>
      <c r="L42" s="240"/>
      <c r="M42" s="242"/>
      <c r="N42" s="248"/>
      <c r="O42" s="200"/>
      <c r="P42" s="245"/>
      <c r="Q42" s="16"/>
      <c r="R42" s="22"/>
      <c r="S42" s="160"/>
      <c r="T42" s="54"/>
      <c r="U42" s="235"/>
      <c r="V42" s="69"/>
      <c r="W42" s="158"/>
      <c r="X42" s="24"/>
      <c r="Y42" s="235"/>
      <c r="Z42" s="69"/>
      <c r="AA42" s="158"/>
      <c r="AB42" s="27"/>
      <c r="AC42" s="233"/>
      <c r="AD42" s="31"/>
      <c r="AE42" s="155"/>
      <c r="AF42" s="27"/>
      <c r="AG42" s="233"/>
      <c r="AH42" s="31"/>
      <c r="AI42" s="155"/>
      <c r="AK42" s="75">
        <v>3124.6730067390299</v>
      </c>
      <c r="AL42" s="134">
        <v>-227.877514291203</v>
      </c>
    </row>
    <row r="43" spans="1:38" x14ac:dyDescent="0.25">
      <c r="A43" s="163"/>
      <c r="B43" s="163"/>
      <c r="C43" s="194" t="s">
        <v>23</v>
      </c>
      <c r="D43" s="90">
        <v>2347.1204499614</v>
      </c>
      <c r="E43" s="90">
        <v>10.463845553605401</v>
      </c>
      <c r="F43" s="151">
        <f t="shared" ref="F43" si="8">AVERAGE(E43:E47)</f>
        <v>11.282965241093752</v>
      </c>
      <c r="G43" s="90">
        <v>240.73217463493299</v>
      </c>
      <c r="H43" s="91">
        <f t="shared" si="0"/>
        <v>0.8460275711986408</v>
      </c>
      <c r="I43" s="252">
        <f>AVERAGE(D43:D47)</f>
        <v>2512.875053296636</v>
      </c>
      <c r="J43" s="179">
        <f>AVERAGE(H43:H47)</f>
        <v>0.89674665635327633</v>
      </c>
      <c r="K43" s="258">
        <f>MAX(D43:D47)</f>
        <v>2850.3164122450298</v>
      </c>
      <c r="L43" s="238">
        <f>MIN(D43:D47)</f>
        <v>2179.89766418308</v>
      </c>
      <c r="M43" s="241">
        <v>3347.33</v>
      </c>
      <c r="N43" s="246">
        <v>0</v>
      </c>
      <c r="O43" s="198">
        <v>2298.4</v>
      </c>
      <c r="P43" s="244">
        <f>M43/I43</f>
        <v>1.332071801822635</v>
      </c>
      <c r="R43" s="21">
        <v>703.42263249604298</v>
      </c>
      <c r="S43" s="161">
        <f>(R43-AL43)/(AK43-AL43)</f>
        <v>0.34307412136952325</v>
      </c>
      <c r="T43" s="59">
        <v>2006.0276648392701</v>
      </c>
      <c r="U43" s="236">
        <f>(T43-AL43)/(AK43-AL43)</f>
        <v>0.74165693131208343</v>
      </c>
      <c r="V43" s="71">
        <v>1695.3449660953399</v>
      </c>
      <c r="W43" s="157">
        <f>(V43-AL43)/(AK43-AL43)</f>
        <v>0.6465914433159764</v>
      </c>
      <c r="X43" s="23">
        <v>1119.1878205616499</v>
      </c>
      <c r="Y43" s="236">
        <f>(X43-AL43)/(AK43-AL43)</f>
        <v>0.47029369508588015</v>
      </c>
      <c r="Z43" s="71">
        <v>1793.0975764098</v>
      </c>
      <c r="AA43" s="157">
        <f>(Z43-AL43)/(AK43-AL43)</f>
        <v>0.67650266669599723</v>
      </c>
      <c r="AB43" s="30">
        <v>1791.04491163529</v>
      </c>
      <c r="AC43" s="232">
        <f>(AB43-AL43)/(AK43-AL43)</f>
        <v>0.67587457385635685</v>
      </c>
      <c r="AD43" s="72">
        <v>1922.66289490751</v>
      </c>
      <c r="AE43" s="154">
        <f>(AD43-AL43)/(AK43-AL43)</f>
        <v>0.7161482288085752</v>
      </c>
      <c r="AF43" s="30">
        <v>-30.993430053113901</v>
      </c>
      <c r="AG43" s="232">
        <f>(AF43-AL43)/(AK43-AL43)</f>
        <v>0.11835088553861571</v>
      </c>
      <c r="AH43" s="60">
        <v>-417.77493502342298</v>
      </c>
      <c r="AI43" s="154">
        <f>(AH43-AL43)/(AK43-AL43)</f>
        <v>0</v>
      </c>
      <c r="AK43" s="75">
        <f>MAX(D43:D47,R43,T43,V43,X43,Z43,AB43,AD43,AF43,AH43)</f>
        <v>2850.3164122450298</v>
      </c>
      <c r="AL43" s="134">
        <f>MIN(D43:D47,R43,T43,V43,X43,Z43,AB43,AD43,AF43,AH43)</f>
        <v>-417.77493502342298</v>
      </c>
    </row>
    <row r="44" spans="1:38" x14ac:dyDescent="0.25">
      <c r="A44" s="163"/>
      <c r="B44" s="163"/>
      <c r="C44" s="183"/>
      <c r="D44" s="92">
        <v>2749.54935847763</v>
      </c>
      <c r="E44" s="92">
        <v>11.330649839507201</v>
      </c>
      <c r="F44" s="152"/>
      <c r="G44" s="92">
        <v>284.31270432472201</v>
      </c>
      <c r="H44" s="93">
        <f t="shared" si="0"/>
        <v>0.96916639008526395</v>
      </c>
      <c r="I44" s="253"/>
      <c r="J44" s="180"/>
      <c r="K44" s="259"/>
      <c r="L44" s="239"/>
      <c r="M44" s="241"/>
      <c r="N44" s="247"/>
      <c r="O44" s="198"/>
      <c r="P44" s="244"/>
      <c r="R44" s="22"/>
      <c r="S44" s="160"/>
      <c r="T44" s="54"/>
      <c r="U44" s="235"/>
      <c r="V44" s="69"/>
      <c r="W44" s="158"/>
      <c r="X44" s="24"/>
      <c r="Y44" s="235"/>
      <c r="Z44" s="69"/>
      <c r="AA44" s="158"/>
      <c r="AB44" s="27"/>
      <c r="AC44" s="233"/>
      <c r="AD44" s="31"/>
      <c r="AE44" s="155"/>
      <c r="AF44" s="27"/>
      <c r="AG44" s="233"/>
      <c r="AH44" s="31"/>
      <c r="AI44" s="155"/>
      <c r="AK44" s="74">
        <v>2850.3164122450298</v>
      </c>
      <c r="AL44" s="18">
        <v>-417.77493502342298</v>
      </c>
    </row>
    <row r="45" spans="1:38" x14ac:dyDescent="0.25">
      <c r="A45" s="163"/>
      <c r="B45" s="163"/>
      <c r="C45" s="183"/>
      <c r="D45" s="92">
        <v>2179.89766418308</v>
      </c>
      <c r="E45" s="92">
        <v>9.3342183514645196</v>
      </c>
      <c r="F45" s="152"/>
      <c r="G45" s="92">
        <v>354.79483413696198</v>
      </c>
      <c r="H45" s="93">
        <f t="shared" si="0"/>
        <v>0.79485923836789274</v>
      </c>
      <c r="I45" s="253"/>
      <c r="J45" s="180"/>
      <c r="K45" s="259"/>
      <c r="L45" s="239"/>
      <c r="M45" s="241"/>
      <c r="N45" s="247"/>
      <c r="O45" s="198"/>
      <c r="P45" s="244"/>
      <c r="R45" s="22"/>
      <c r="S45" s="160"/>
      <c r="T45" s="54"/>
      <c r="U45" s="235"/>
      <c r="V45" s="69"/>
      <c r="W45" s="158"/>
      <c r="X45" s="24"/>
      <c r="Y45" s="235"/>
      <c r="Z45" s="69"/>
      <c r="AA45" s="158"/>
      <c r="AB45" s="27"/>
      <c r="AC45" s="233"/>
      <c r="AD45" s="31"/>
      <c r="AE45" s="155"/>
      <c r="AF45" s="27"/>
      <c r="AG45" s="233"/>
      <c r="AH45" s="31"/>
      <c r="AI45" s="155"/>
      <c r="AK45" s="74">
        <v>2850.3164122450298</v>
      </c>
      <c r="AL45" s="18">
        <v>-417.77493502342298</v>
      </c>
    </row>
    <row r="46" spans="1:38" x14ac:dyDescent="0.25">
      <c r="A46" s="163"/>
      <c r="B46" s="163"/>
      <c r="C46" s="183"/>
      <c r="D46" s="92">
        <v>2850.3164122450298</v>
      </c>
      <c r="E46" s="92">
        <v>15.8508225941076</v>
      </c>
      <c r="F46" s="152"/>
      <c r="G46" s="92">
        <v>285.49033403396601</v>
      </c>
      <c r="H46" s="93">
        <f t="shared" si="0"/>
        <v>1</v>
      </c>
      <c r="I46" s="253"/>
      <c r="J46" s="180"/>
      <c r="K46" s="259"/>
      <c r="L46" s="239"/>
      <c r="M46" s="241"/>
      <c r="N46" s="247"/>
      <c r="O46" s="198"/>
      <c r="P46" s="244"/>
      <c r="R46" s="22"/>
      <c r="S46" s="160"/>
      <c r="T46" s="54"/>
      <c r="U46" s="235"/>
      <c r="V46" s="69"/>
      <c r="W46" s="158"/>
      <c r="X46" s="24"/>
      <c r="Y46" s="235"/>
      <c r="Z46" s="69"/>
      <c r="AA46" s="158"/>
      <c r="AB46" s="27"/>
      <c r="AC46" s="233"/>
      <c r="AD46" s="31"/>
      <c r="AE46" s="155"/>
      <c r="AF46" s="27"/>
      <c r="AG46" s="233"/>
      <c r="AH46" s="31"/>
      <c r="AI46" s="155"/>
      <c r="AK46" s="74">
        <v>2850.3164122450298</v>
      </c>
      <c r="AL46" s="18">
        <v>-417.77493502342298</v>
      </c>
    </row>
    <row r="47" spans="1:38" ht="14.5" thickBot="1" x14ac:dyDescent="0.3">
      <c r="A47" s="164"/>
      <c r="B47" s="164"/>
      <c r="C47" s="184"/>
      <c r="D47" s="94">
        <v>2437.4913816160401</v>
      </c>
      <c r="E47" s="94">
        <v>9.4352898667840392</v>
      </c>
      <c r="F47" s="153"/>
      <c r="G47" s="94">
        <v>320.88854765892</v>
      </c>
      <c r="H47" s="95">
        <f t="shared" si="0"/>
        <v>0.87368008211458392</v>
      </c>
      <c r="I47" s="254"/>
      <c r="J47" s="181"/>
      <c r="K47" s="260"/>
      <c r="L47" s="240"/>
      <c r="M47" s="242"/>
      <c r="N47" s="248"/>
      <c r="O47" s="200"/>
      <c r="P47" s="245"/>
      <c r="R47" s="47"/>
      <c r="S47" s="162"/>
      <c r="T47" s="56"/>
      <c r="U47" s="237"/>
      <c r="V47" s="70"/>
      <c r="W47" s="159"/>
      <c r="X47" s="48"/>
      <c r="Y47" s="237"/>
      <c r="Z47" s="70"/>
      <c r="AA47" s="159"/>
      <c r="AB47" s="28"/>
      <c r="AC47" s="234"/>
      <c r="AD47" s="61"/>
      <c r="AE47" s="156"/>
      <c r="AF47" s="28"/>
      <c r="AG47" s="234"/>
      <c r="AH47" s="61"/>
      <c r="AI47" s="156"/>
      <c r="AK47" s="73">
        <v>2850.3164122450298</v>
      </c>
      <c r="AL47" s="16">
        <v>-417.77493502342298</v>
      </c>
    </row>
    <row r="49" spans="5:35" x14ac:dyDescent="0.25">
      <c r="E49" s="96">
        <f>AVERAGE(E3:E47)</f>
        <v>11.485877442637587</v>
      </c>
      <c r="G49" s="96">
        <f>AVERAGE(G3:G47)</f>
        <v>303.28873888121689</v>
      </c>
      <c r="I49" s="64">
        <f>AVERAGE(I3:I47)</f>
        <v>2597.834581469182</v>
      </c>
      <c r="J49" s="36">
        <f>AVERAGE(J3:J47)</f>
        <v>0.92324480168675649</v>
      </c>
      <c r="P49" s="19">
        <f>MAX(P3:P47)</f>
        <v>1.4905321296472702</v>
      </c>
      <c r="R49" s="20">
        <f>AVERAGE(R3:R47)</f>
        <v>1499.3662097960701</v>
      </c>
      <c r="S49" s="36">
        <f t="shared" ref="S49:AI49" si="9">AVERAGE(S3:S47)</f>
        <v>0.60365678481773766</v>
      </c>
      <c r="T49" s="20">
        <f t="shared" si="9"/>
        <v>1993.9438779399288</v>
      </c>
      <c r="U49" s="36">
        <f t="shared" si="9"/>
        <v>0.75152308708298365</v>
      </c>
      <c r="V49" s="20">
        <f t="shared" si="9"/>
        <v>2125.4375614077326</v>
      </c>
      <c r="W49" s="36">
        <f t="shared" si="9"/>
        <v>0.77500817934722721</v>
      </c>
      <c r="X49" s="20">
        <f t="shared" si="9"/>
        <v>1666.754918040165</v>
      </c>
      <c r="Y49" s="36">
        <f t="shared" si="9"/>
        <v>0.62871528250693443</v>
      </c>
      <c r="Z49" s="20">
        <f t="shared" si="9"/>
        <v>1751.0892342084721</v>
      </c>
      <c r="AA49" s="36">
        <f t="shared" si="9"/>
        <v>0.66532547610402404</v>
      </c>
      <c r="AB49" s="20">
        <f t="shared" si="9"/>
        <v>2248.5125804253489</v>
      </c>
      <c r="AC49" s="36">
        <f t="shared" si="9"/>
        <v>0.83213760647683654</v>
      </c>
      <c r="AD49" s="20">
        <f t="shared" si="9"/>
        <v>2374.8531253094566</v>
      </c>
      <c r="AE49" s="36">
        <f t="shared" si="9"/>
        <v>0.87533242481141382</v>
      </c>
      <c r="AF49" s="20">
        <f t="shared" si="9"/>
        <v>1054.8741426636243</v>
      </c>
      <c r="AG49" s="36">
        <f t="shared" si="9"/>
        <v>0.5488333082317931</v>
      </c>
      <c r="AH49" s="20">
        <f t="shared" si="9"/>
        <v>-747.70316584749253</v>
      </c>
      <c r="AI49" s="36">
        <f t="shared" si="9"/>
        <v>7.4868803390607391E-2</v>
      </c>
    </row>
    <row r="50" spans="5:35" x14ac:dyDescent="0.25">
      <c r="P50" s="64">
        <f>AVERAGE(P3:P47)</f>
        <v>1.2919793013098595</v>
      </c>
    </row>
  </sheetData>
  <sortState xmlns:xlrd2="http://schemas.microsoft.com/office/spreadsheetml/2017/richdata2" ref="A3:C47">
    <sortCondition descending="1" ref="B2:B47"/>
  </sortState>
  <mergeCells count="196">
    <mergeCell ref="AK1:AK2"/>
    <mergeCell ref="AL1:AL2"/>
    <mergeCell ref="AB1:AI1"/>
    <mergeCell ref="AB2:AC2"/>
    <mergeCell ref="A1:A2"/>
    <mergeCell ref="B1:B2"/>
    <mergeCell ref="N1:N2"/>
    <mergeCell ref="T1:AA1"/>
    <mergeCell ref="T2:U2"/>
    <mergeCell ref="V2:W2"/>
    <mergeCell ref="X2:Y2"/>
    <mergeCell ref="Z2:AA2"/>
    <mergeCell ref="R1:S2"/>
    <mergeCell ref="AD2:AE2"/>
    <mergeCell ref="AF2:AG2"/>
    <mergeCell ref="AH2:AI2"/>
    <mergeCell ref="C1:C2"/>
    <mergeCell ref="P1:P2"/>
    <mergeCell ref="M1:M2"/>
    <mergeCell ref="O1:O2"/>
    <mergeCell ref="K43:K47"/>
    <mergeCell ref="J3:J7"/>
    <mergeCell ref="J8:J12"/>
    <mergeCell ref="J13:J17"/>
    <mergeCell ref="I3:I7"/>
    <mergeCell ref="I8:I12"/>
    <mergeCell ref="I13:I17"/>
    <mergeCell ref="I18:I22"/>
    <mergeCell ref="I23:I27"/>
    <mergeCell ref="L3:L7"/>
    <mergeCell ref="L8:L12"/>
    <mergeCell ref="L13:L17"/>
    <mergeCell ref="L18:L22"/>
    <mergeCell ref="L23:L27"/>
    <mergeCell ref="D1:L1"/>
    <mergeCell ref="J43:J47"/>
    <mergeCell ref="J18:J22"/>
    <mergeCell ref="J23:J27"/>
    <mergeCell ref="J28:J32"/>
    <mergeCell ref="J33:J37"/>
    <mergeCell ref="J38:J42"/>
    <mergeCell ref="I28:I32"/>
    <mergeCell ref="I33:I37"/>
    <mergeCell ref="I38:I42"/>
    <mergeCell ref="I43:I47"/>
    <mergeCell ref="K3:K7"/>
    <mergeCell ref="K8:K12"/>
    <mergeCell ref="K13:K17"/>
    <mergeCell ref="K18:K22"/>
    <mergeCell ref="K23:K27"/>
    <mergeCell ref="K28:K32"/>
    <mergeCell ref="K33:K37"/>
    <mergeCell ref="K38:K42"/>
    <mergeCell ref="M3:M7"/>
    <mergeCell ref="M8:M12"/>
    <mergeCell ref="M13:M17"/>
    <mergeCell ref="M18:M22"/>
    <mergeCell ref="M23:M27"/>
    <mergeCell ref="M28:M32"/>
    <mergeCell ref="M33:M37"/>
    <mergeCell ref="M38:M42"/>
    <mergeCell ref="P3:P7"/>
    <mergeCell ref="P8:P12"/>
    <mergeCell ref="P13:P17"/>
    <mergeCell ref="P18:P22"/>
    <mergeCell ref="P23:P27"/>
    <mergeCell ref="N28:N32"/>
    <mergeCell ref="N33:N37"/>
    <mergeCell ref="N38:N42"/>
    <mergeCell ref="O3:O7"/>
    <mergeCell ref="O8:O12"/>
    <mergeCell ref="O13:O17"/>
    <mergeCell ref="O18:O22"/>
    <mergeCell ref="O23:O27"/>
    <mergeCell ref="O28:O32"/>
    <mergeCell ref="O33:O37"/>
    <mergeCell ref="O38:O42"/>
    <mergeCell ref="N23:N27"/>
    <mergeCell ref="P28:P32"/>
    <mergeCell ref="P33:P37"/>
    <mergeCell ref="S3:S7"/>
    <mergeCell ref="S8:S12"/>
    <mergeCell ref="S13:S17"/>
    <mergeCell ref="S18:S22"/>
    <mergeCell ref="S23:S27"/>
    <mergeCell ref="S28:S32"/>
    <mergeCell ref="S33:S37"/>
    <mergeCell ref="U28:U32"/>
    <mergeCell ref="U33:U37"/>
    <mergeCell ref="U38:U42"/>
    <mergeCell ref="U43:U47"/>
    <mergeCell ref="L43:L47"/>
    <mergeCell ref="M43:M47"/>
    <mergeCell ref="U3:U7"/>
    <mergeCell ref="U8:U12"/>
    <mergeCell ref="U13:U17"/>
    <mergeCell ref="U18:U22"/>
    <mergeCell ref="U23:U27"/>
    <mergeCell ref="S38:S42"/>
    <mergeCell ref="S43:S47"/>
    <mergeCell ref="P38:P42"/>
    <mergeCell ref="P43:P47"/>
    <mergeCell ref="N43:N47"/>
    <mergeCell ref="O43:O47"/>
    <mergeCell ref="L28:L32"/>
    <mergeCell ref="L33:L37"/>
    <mergeCell ref="L38:L42"/>
    <mergeCell ref="N3:N7"/>
    <mergeCell ref="N8:N12"/>
    <mergeCell ref="N13:N17"/>
    <mergeCell ref="N18:N22"/>
    <mergeCell ref="Y28:Y32"/>
    <mergeCell ref="Y33:Y37"/>
    <mergeCell ref="Y38:Y42"/>
    <mergeCell ref="Y43:Y47"/>
    <mergeCell ref="Y3:Y7"/>
    <mergeCell ref="Y8:Y12"/>
    <mergeCell ref="Y13:Y17"/>
    <mergeCell ref="Y18:Y22"/>
    <mergeCell ref="Y23:Y27"/>
    <mergeCell ref="W3:W7"/>
    <mergeCell ref="W8:W12"/>
    <mergeCell ref="W13:W17"/>
    <mergeCell ref="W18:W22"/>
    <mergeCell ref="W23:W27"/>
    <mergeCell ref="W28:W32"/>
    <mergeCell ref="W33:W37"/>
    <mergeCell ref="W38:W42"/>
    <mergeCell ref="W43:W47"/>
    <mergeCell ref="AA3:AA7"/>
    <mergeCell ref="AA8:AA12"/>
    <mergeCell ref="AA13:AA17"/>
    <mergeCell ref="AA18:AA22"/>
    <mergeCell ref="AA23:AA27"/>
    <mergeCell ref="AA28:AA32"/>
    <mergeCell ref="AA33:AA37"/>
    <mergeCell ref="AA38:AA42"/>
    <mergeCell ref="AA43:AA47"/>
    <mergeCell ref="AC28:AC32"/>
    <mergeCell ref="AC33:AC37"/>
    <mergeCell ref="AC38:AC42"/>
    <mergeCell ref="AC43:AC47"/>
    <mergeCell ref="AE3:AE7"/>
    <mergeCell ref="AE8:AE12"/>
    <mergeCell ref="AE13:AE17"/>
    <mergeCell ref="AE18:AE22"/>
    <mergeCell ref="AE23:AE27"/>
    <mergeCell ref="AE28:AE32"/>
    <mergeCell ref="AE33:AE37"/>
    <mergeCell ref="AE38:AE42"/>
    <mergeCell ref="AE43:AE47"/>
    <mergeCell ref="AC3:AC7"/>
    <mergeCell ref="AC8:AC12"/>
    <mergeCell ref="AC13:AC17"/>
    <mergeCell ref="AC18:AC22"/>
    <mergeCell ref="AC23:AC27"/>
    <mergeCell ref="AI23:AI27"/>
    <mergeCell ref="AI28:AI32"/>
    <mergeCell ref="AI33:AI37"/>
    <mergeCell ref="AI38:AI42"/>
    <mergeCell ref="AI43:AI47"/>
    <mergeCell ref="AG3:AG7"/>
    <mergeCell ref="AG8:AG12"/>
    <mergeCell ref="AG13:AG17"/>
    <mergeCell ref="AG18:AG22"/>
    <mergeCell ref="AG23:AG27"/>
    <mergeCell ref="AG28:AG32"/>
    <mergeCell ref="AG33:AG37"/>
    <mergeCell ref="AG38:AG42"/>
    <mergeCell ref="AG43:AG47"/>
    <mergeCell ref="AI3:AI7"/>
    <mergeCell ref="AI8:AI12"/>
    <mergeCell ref="AI13:AI17"/>
    <mergeCell ref="AI18:AI22"/>
    <mergeCell ref="B33:B47"/>
    <mergeCell ref="A3:A47"/>
    <mergeCell ref="B3:B17"/>
    <mergeCell ref="B18:B32"/>
    <mergeCell ref="C3:C7"/>
    <mergeCell ref="C8:C12"/>
    <mergeCell ref="C13:C17"/>
    <mergeCell ref="C18:C22"/>
    <mergeCell ref="C23:C27"/>
    <mergeCell ref="C28:C32"/>
    <mergeCell ref="C33:C37"/>
    <mergeCell ref="C38:C42"/>
    <mergeCell ref="C43:C47"/>
    <mergeCell ref="F3:F7"/>
    <mergeCell ref="F8:F12"/>
    <mergeCell ref="F13:F17"/>
    <mergeCell ref="F18:F22"/>
    <mergeCell ref="F23:F27"/>
    <mergeCell ref="F28:F32"/>
    <mergeCell ref="F33:F37"/>
    <mergeCell ref="F38:F42"/>
    <mergeCell ref="F43:F47"/>
  </mergeCells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9"/>
  <sheetViews>
    <sheetView tabSelected="1" topLeftCell="A26" zoomScale="70" zoomScaleNormal="70" workbookViewId="0">
      <selection activeCell="D2" sqref="D1:E1048576"/>
    </sheetView>
  </sheetViews>
  <sheetFormatPr defaultColWidth="9" defaultRowHeight="14" x14ac:dyDescent="0.25"/>
  <cols>
    <col min="4" max="4" width="9.54296875"/>
    <col min="8" max="8" width="9.6328125" bestFit="1" customWidth="1"/>
    <col min="9" max="9" width="12" style="1" customWidth="1"/>
    <col min="10" max="10" width="12" style="32" customWidth="1"/>
    <col min="11" max="12" width="9.1796875" style="1" customWidth="1"/>
    <col min="13" max="13" width="9.6328125" style="1" bestFit="1" customWidth="1"/>
    <col min="14" max="14" width="9" style="1"/>
    <col min="15" max="15" width="9.6328125" style="1" bestFit="1" customWidth="1"/>
    <col min="16" max="17" width="9" style="1"/>
    <col min="18" max="18" width="9.1796875" style="1" customWidth="1"/>
    <col min="19" max="19" width="9.1796875" style="150" customWidth="1"/>
    <col min="20" max="20" width="9.54296875"/>
    <col min="22" max="23" width="9.1796875" style="1" customWidth="1"/>
    <col min="24" max="24" width="9.54296875"/>
    <col min="26" max="27" width="10.1796875" style="1" customWidth="1"/>
    <col min="28" max="28" width="10.81640625" style="1" customWidth="1"/>
    <col min="29" max="29" width="9.1796875" style="1" customWidth="1"/>
    <col min="30" max="35" width="10.1796875" style="1" customWidth="1"/>
    <col min="38" max="38" width="10.453125" customWidth="1"/>
  </cols>
  <sheetData>
    <row r="1" spans="1:38" ht="14.5" thickBot="1" x14ac:dyDescent="0.3">
      <c r="A1" s="194" t="s">
        <v>26</v>
      </c>
      <c r="B1" s="212" t="s">
        <v>25</v>
      </c>
      <c r="C1" s="194" t="s">
        <v>24</v>
      </c>
      <c r="D1" s="218" t="s">
        <v>0</v>
      </c>
      <c r="E1" s="219"/>
      <c r="F1" s="219"/>
      <c r="G1" s="219"/>
      <c r="H1" s="219"/>
      <c r="I1" s="220"/>
      <c r="J1" s="220"/>
      <c r="K1" s="220"/>
      <c r="L1" s="221"/>
      <c r="M1" s="208" t="s">
        <v>1</v>
      </c>
      <c r="N1" s="201" t="s">
        <v>2</v>
      </c>
      <c r="O1" s="201" t="s">
        <v>3</v>
      </c>
      <c r="P1" s="165" t="s">
        <v>20</v>
      </c>
      <c r="Q1" s="4"/>
      <c r="R1" s="167" t="s">
        <v>4</v>
      </c>
      <c r="S1" s="273"/>
      <c r="T1" s="171" t="s">
        <v>17</v>
      </c>
      <c r="U1" s="172"/>
      <c r="V1" s="172"/>
      <c r="W1" s="172"/>
      <c r="X1" s="172"/>
      <c r="Y1" s="172"/>
      <c r="Z1" s="172"/>
      <c r="AA1" s="173"/>
      <c r="AB1" s="269" t="s">
        <v>5</v>
      </c>
      <c r="AC1" s="269"/>
      <c r="AD1" s="269"/>
      <c r="AE1" s="269"/>
      <c r="AF1" s="269"/>
      <c r="AG1" s="269"/>
      <c r="AH1" s="269"/>
      <c r="AI1" s="270"/>
      <c r="AJ1" s="124"/>
      <c r="AK1" s="224" t="s">
        <v>12</v>
      </c>
      <c r="AL1" s="222" t="s">
        <v>13</v>
      </c>
    </row>
    <row r="2" spans="1:38" ht="14.5" thickBot="1" x14ac:dyDescent="0.3">
      <c r="A2" s="184"/>
      <c r="B2" s="213"/>
      <c r="C2" s="183"/>
      <c r="D2" s="65" t="s">
        <v>15</v>
      </c>
      <c r="E2" s="88" t="s">
        <v>18</v>
      </c>
      <c r="F2" s="88"/>
      <c r="G2" s="68" t="s">
        <v>19</v>
      </c>
      <c r="H2" s="109" t="s">
        <v>16</v>
      </c>
      <c r="I2" s="67" t="s">
        <v>6</v>
      </c>
      <c r="J2" s="66" t="s">
        <v>14</v>
      </c>
      <c r="K2" s="37" t="s">
        <v>7</v>
      </c>
      <c r="L2" s="68" t="s">
        <v>8</v>
      </c>
      <c r="M2" s="210"/>
      <c r="N2" s="198"/>
      <c r="O2" s="198"/>
      <c r="P2" s="298"/>
      <c r="R2" s="299"/>
      <c r="S2" s="300"/>
      <c r="T2" s="174">
        <v>3</v>
      </c>
      <c r="U2" s="175"/>
      <c r="V2" s="174">
        <v>6</v>
      </c>
      <c r="W2" s="175"/>
      <c r="X2" s="174">
        <v>9</v>
      </c>
      <c r="Y2" s="175"/>
      <c r="Z2" s="174">
        <v>12</v>
      </c>
      <c r="AA2" s="175"/>
      <c r="AB2" s="301">
        <v>0.2</v>
      </c>
      <c r="AC2" s="302"/>
      <c r="AD2" s="301">
        <v>0.4</v>
      </c>
      <c r="AE2" s="303"/>
      <c r="AF2" s="302">
        <v>0.6</v>
      </c>
      <c r="AG2" s="302"/>
      <c r="AH2" s="301">
        <v>0.8</v>
      </c>
      <c r="AI2" s="303"/>
      <c r="AJ2" s="125"/>
      <c r="AK2" s="225"/>
      <c r="AL2" s="223"/>
    </row>
    <row r="3" spans="1:38" x14ac:dyDescent="0.25">
      <c r="A3" s="163">
        <v>144</v>
      </c>
      <c r="B3" s="182" t="s">
        <v>9</v>
      </c>
      <c r="C3" s="194" t="s">
        <v>21</v>
      </c>
      <c r="D3" s="98">
        <v>6657.3556431273701</v>
      </c>
      <c r="E3" s="99">
        <v>21.314875649081301</v>
      </c>
      <c r="F3" s="151">
        <f>AVERAGE(E3:E7)</f>
        <v>20.676991208497402</v>
      </c>
      <c r="G3" s="105">
        <v>767.43608832359303</v>
      </c>
      <c r="H3" s="110">
        <f>(D3-AL3)/(AK3-AL3)</f>
        <v>0.95654176340043262</v>
      </c>
      <c r="I3" s="202">
        <f>AVERAGE(D3:D7)</f>
        <v>6717.8499977317142</v>
      </c>
      <c r="J3" s="292">
        <f>AVERAGE(H3:H7)</f>
        <v>0.96481753850937224</v>
      </c>
      <c r="K3" s="185">
        <f>MAX(D3:D7)</f>
        <v>6975.0271531341896</v>
      </c>
      <c r="L3" s="229">
        <f>MIN(D3:D7)</f>
        <v>6550.0395489064103</v>
      </c>
      <c r="M3" s="211">
        <v>7399.36</v>
      </c>
      <c r="N3" s="250">
        <v>0.27396199999999998</v>
      </c>
      <c r="O3" s="199">
        <v>3602.16</v>
      </c>
      <c r="P3" s="195"/>
      <c r="Q3" s="4"/>
      <c r="R3" s="275">
        <v>5546.5893498506302</v>
      </c>
      <c r="S3" s="295">
        <f>(R3-AL3)/(AK3-AL3)</f>
        <v>0.80458622801418178</v>
      </c>
      <c r="T3" s="113">
        <v>6276.1223395795896</v>
      </c>
      <c r="U3" s="286">
        <f>(T3-AL3)/(AK3-AL3)</f>
        <v>0.90438811857134971</v>
      </c>
      <c r="V3" s="118">
        <v>5615.0705552596601</v>
      </c>
      <c r="W3" s="288">
        <f>(V3-AL3)/(AK3-AL3)</f>
        <v>0.81395462377376782</v>
      </c>
      <c r="X3" s="13">
        <v>4475.7267334953704</v>
      </c>
      <c r="Y3" s="286">
        <f>(X3-AL3)/(AK3-AL3)</f>
        <v>0.65808961285911294</v>
      </c>
      <c r="Z3" s="118">
        <v>-334.78417064101302</v>
      </c>
      <c r="AA3" s="288">
        <f>(Z3-AL3)/(AK3-AL3)</f>
        <v>0</v>
      </c>
      <c r="AB3" s="14">
        <v>6099.6573232828696</v>
      </c>
      <c r="AC3" s="279">
        <f>(AB3-AL3)/(AK3-AL3)</f>
        <v>0.8802472743716141</v>
      </c>
      <c r="AD3" s="127">
        <v>5852.8332822700604</v>
      </c>
      <c r="AE3" s="282">
        <f>(AD3-AL3)/(AK3-AL3)</f>
        <v>0.84648114415563813</v>
      </c>
      <c r="AF3" s="15">
        <v>5763.8521381241198</v>
      </c>
      <c r="AG3" s="279">
        <f>(AF3-AL3)/(AK3-AL3)</f>
        <v>0.83430830682719315</v>
      </c>
      <c r="AH3" s="127">
        <v>1185.7568241326101</v>
      </c>
      <c r="AI3" s="282">
        <f>(AH3-AL3)/(AK3-AL3)</f>
        <v>0.20801371299804344</v>
      </c>
      <c r="AJ3" s="10"/>
      <c r="AK3" s="12">
        <f>MAX(D3:D7,R3,T3,V3,X3,Z3,AB3,AD3,AF3,AH3)</f>
        <v>6975.0271531341896</v>
      </c>
      <c r="AL3" s="121">
        <f>MIN(D3:D7,R3,T3,V3,X3,Z3,AB3,AD3,AF3,AH3)</f>
        <v>-334.78417064101302</v>
      </c>
    </row>
    <row r="4" spans="1:38" x14ac:dyDescent="0.25">
      <c r="A4" s="163"/>
      <c r="B4" s="163"/>
      <c r="C4" s="183"/>
      <c r="D4" s="100">
        <v>6550.0395489064103</v>
      </c>
      <c r="E4" s="101">
        <v>19.975937134510701</v>
      </c>
      <c r="F4" s="152"/>
      <c r="G4" s="106">
        <v>739.21819710731495</v>
      </c>
      <c r="H4" s="111">
        <f t="shared" ref="H4:H47" si="0">(D4-AL4)/(AK4-AL4)</f>
        <v>0.94186066022723391</v>
      </c>
      <c r="I4" s="203"/>
      <c r="J4" s="293"/>
      <c r="K4" s="186"/>
      <c r="L4" s="230"/>
      <c r="M4" s="210"/>
      <c r="N4" s="246"/>
      <c r="O4" s="198"/>
      <c r="P4" s="196"/>
      <c r="R4" s="276"/>
      <c r="S4" s="296"/>
      <c r="T4" s="114"/>
      <c r="U4" s="285"/>
      <c r="V4" s="114"/>
      <c r="W4" s="289"/>
      <c r="X4" s="115"/>
      <c r="Y4" s="285"/>
      <c r="Z4" s="114"/>
      <c r="AA4" s="289"/>
      <c r="AB4" s="120"/>
      <c r="AC4" s="280"/>
      <c r="AD4" s="128"/>
      <c r="AE4" s="283"/>
      <c r="AF4" s="120"/>
      <c r="AG4" s="280"/>
      <c r="AH4" s="128"/>
      <c r="AI4" s="283"/>
      <c r="AK4" s="2">
        <v>6975.0271531341896</v>
      </c>
      <c r="AL4" s="122">
        <v>-334.78417064101302</v>
      </c>
    </row>
    <row r="5" spans="1:38" x14ac:dyDescent="0.25">
      <c r="A5" s="163"/>
      <c r="B5" s="163"/>
      <c r="C5" s="183"/>
      <c r="D5" s="100">
        <v>6975.0271531341896</v>
      </c>
      <c r="E5" s="101">
        <v>22.1927907798025</v>
      </c>
      <c r="F5" s="152"/>
      <c r="G5" s="106">
        <v>799.04202103614796</v>
      </c>
      <c r="H5" s="111">
        <f t="shared" si="0"/>
        <v>1</v>
      </c>
      <c r="I5" s="203"/>
      <c r="J5" s="293"/>
      <c r="K5" s="186"/>
      <c r="L5" s="230"/>
      <c r="M5" s="210"/>
      <c r="N5" s="246"/>
      <c r="O5" s="198"/>
      <c r="P5" s="196"/>
      <c r="R5" s="276"/>
      <c r="S5" s="296"/>
      <c r="T5" s="114"/>
      <c r="U5" s="285"/>
      <c r="V5" s="114"/>
      <c r="W5" s="289"/>
      <c r="X5" s="115"/>
      <c r="Y5" s="285"/>
      <c r="Z5" s="114"/>
      <c r="AA5" s="289"/>
      <c r="AB5" s="120"/>
      <c r="AC5" s="280"/>
      <c r="AD5" s="128"/>
      <c r="AE5" s="283"/>
      <c r="AF5" s="120"/>
      <c r="AG5" s="280"/>
      <c r="AH5" s="128"/>
      <c r="AI5" s="283"/>
      <c r="AK5" s="2">
        <v>6975.0271531341896</v>
      </c>
      <c r="AL5" s="122">
        <v>-334.78417064101302</v>
      </c>
    </row>
    <row r="6" spans="1:38" x14ac:dyDescent="0.25">
      <c r="A6" s="163"/>
      <c r="B6" s="163"/>
      <c r="C6" s="183"/>
      <c r="D6" s="100">
        <v>6733.2100068563796</v>
      </c>
      <c r="E6" s="101">
        <v>19.3116669347209</v>
      </c>
      <c r="F6" s="152"/>
      <c r="G6" s="106">
        <v>598.75626087188698</v>
      </c>
      <c r="H6" s="111">
        <f t="shared" si="0"/>
        <v>0.96691882518344918</v>
      </c>
      <c r="I6" s="203"/>
      <c r="J6" s="293"/>
      <c r="K6" s="186"/>
      <c r="L6" s="230"/>
      <c r="M6" s="210"/>
      <c r="N6" s="246"/>
      <c r="O6" s="198"/>
      <c r="P6" s="196"/>
      <c r="R6" s="276"/>
      <c r="S6" s="296"/>
      <c r="T6" s="114"/>
      <c r="U6" s="285"/>
      <c r="V6" s="114"/>
      <c r="W6" s="289"/>
      <c r="X6" s="115"/>
      <c r="Y6" s="285"/>
      <c r="Z6" s="114"/>
      <c r="AA6" s="289"/>
      <c r="AB6" s="120"/>
      <c r="AC6" s="280"/>
      <c r="AD6" s="128"/>
      <c r="AE6" s="283"/>
      <c r="AF6" s="120"/>
      <c r="AG6" s="280"/>
      <c r="AH6" s="128"/>
      <c r="AI6" s="283"/>
      <c r="AK6" s="2">
        <v>6975.0271531341896</v>
      </c>
      <c r="AL6" s="122">
        <v>-334.78417064101302</v>
      </c>
    </row>
    <row r="7" spans="1:38" ht="14.5" thickBot="1" x14ac:dyDescent="0.3">
      <c r="A7" s="163"/>
      <c r="B7" s="163"/>
      <c r="C7" s="184"/>
      <c r="D7" s="103">
        <v>6673.6176366342197</v>
      </c>
      <c r="E7" s="104">
        <v>20.589685544371601</v>
      </c>
      <c r="F7" s="153"/>
      <c r="G7" s="108">
        <v>658.96551728248596</v>
      </c>
      <c r="H7" s="112">
        <f t="shared" si="0"/>
        <v>0.95876644373574549</v>
      </c>
      <c r="I7" s="204"/>
      <c r="J7" s="294"/>
      <c r="K7" s="187"/>
      <c r="L7" s="231"/>
      <c r="M7" s="209"/>
      <c r="N7" s="291"/>
      <c r="O7" s="200"/>
      <c r="P7" s="197"/>
      <c r="Q7" s="6"/>
      <c r="R7" s="277"/>
      <c r="S7" s="297"/>
      <c r="T7" s="116"/>
      <c r="U7" s="287"/>
      <c r="V7" s="116"/>
      <c r="W7" s="290"/>
      <c r="X7" s="7"/>
      <c r="Y7" s="287"/>
      <c r="Z7" s="116"/>
      <c r="AA7" s="290"/>
      <c r="AB7" s="9"/>
      <c r="AC7" s="281"/>
      <c r="AD7" s="8"/>
      <c r="AE7" s="284"/>
      <c r="AF7" s="9"/>
      <c r="AG7" s="281"/>
      <c r="AH7" s="8"/>
      <c r="AI7" s="284"/>
      <c r="AJ7" s="11"/>
      <c r="AK7" s="5">
        <v>6975.0271531341896</v>
      </c>
      <c r="AL7" s="123">
        <v>-334.78417064101302</v>
      </c>
    </row>
    <row r="8" spans="1:38" x14ac:dyDescent="0.25">
      <c r="A8" s="163"/>
      <c r="B8" s="163"/>
      <c r="C8" s="278" t="s">
        <v>22</v>
      </c>
      <c r="D8" s="100">
        <v>6629.5339547930298</v>
      </c>
      <c r="E8" s="101">
        <v>22.166976332664401</v>
      </c>
      <c r="F8" s="151">
        <f t="shared" ref="F8" si="1">AVERAGE(E8:E12)</f>
        <v>23.486137519821781</v>
      </c>
      <c r="G8" s="106">
        <v>886.78956985473599</v>
      </c>
      <c r="H8" s="111">
        <f t="shared" si="0"/>
        <v>0.92765229886646372</v>
      </c>
      <c r="I8" s="203">
        <f>AVERAGE(D8:D12)</f>
        <v>6753.3481906424804</v>
      </c>
      <c r="J8" s="293">
        <f>AVERAGE(H8:H12)</f>
        <v>0.95919180608060517</v>
      </c>
      <c r="K8" s="186">
        <f>MAX(D8:D12)</f>
        <v>6913.5483901009102</v>
      </c>
      <c r="L8" s="230">
        <f>MIN(D8:D12)</f>
        <v>6629.5339547930298</v>
      </c>
      <c r="M8" s="210">
        <v>7753.62</v>
      </c>
      <c r="N8" s="246">
        <v>0.20380200000000001</v>
      </c>
      <c r="O8" s="198">
        <v>3603.4</v>
      </c>
      <c r="P8" s="196"/>
      <c r="R8" s="141">
        <v>5938.6300353643101</v>
      </c>
      <c r="S8" s="296">
        <f>(R8-AL8)/(AK8-AL8)</f>
        <v>0.7516566308271535</v>
      </c>
      <c r="T8" s="117">
        <v>6240.8953377979497</v>
      </c>
      <c r="U8" s="285">
        <f>(T8-AL8)/(AK8-AL8)</f>
        <v>0.82865342058469205</v>
      </c>
      <c r="V8" s="114">
        <v>4845.2591894757097</v>
      </c>
      <c r="W8" s="289">
        <f>(V8-AL8)/(AK8-AL8)</f>
        <v>0.47313956495787712</v>
      </c>
      <c r="X8" s="115">
        <v>3679.8469464101099</v>
      </c>
      <c r="Y8" s="285">
        <f>(X8-AL8)/(AK8-AL8)</f>
        <v>0.176271215406298</v>
      </c>
      <c r="Z8" s="114">
        <v>2987.8613142440199</v>
      </c>
      <c r="AA8" s="288">
        <f>(Z8-AL8)/(AK8-AL8)</f>
        <v>0</v>
      </c>
      <c r="AB8" s="119">
        <v>6283.0211032828502</v>
      </c>
      <c r="AC8" s="280">
        <f>(AB8-AL8)/(AK8-AL8)</f>
        <v>0.83938422124987389</v>
      </c>
      <c r="AD8" s="128">
        <v>5909.0403692781401</v>
      </c>
      <c r="AE8" s="283">
        <f>(AD8-AL8)/(AK8-AL8)</f>
        <v>0.74411918183684866</v>
      </c>
      <c r="AF8" s="120">
        <v>5025.9772231990601</v>
      </c>
      <c r="AG8" s="280">
        <f>(AF8-AL8)/(AK8-AL8)</f>
        <v>0.51917431766009137</v>
      </c>
      <c r="AH8" s="128">
        <v>3120.8864974303701</v>
      </c>
      <c r="AI8" s="282">
        <f>(AH8-AL8)/(AK8-AL8)</f>
        <v>3.3885834661774146E-2</v>
      </c>
      <c r="AK8" s="2">
        <f>MAX(D8:D12,R8,T8,V8,X8,Z8,AB8,AD8,AF8,AH8)</f>
        <v>6913.5483901009102</v>
      </c>
      <c r="AL8" s="122">
        <f>MIN(D8:D12,R8,T8,V8,X8,Z8,AB8,AD8,AF8,AH8)</f>
        <v>2987.8613142440199</v>
      </c>
    </row>
    <row r="9" spans="1:38" x14ac:dyDescent="0.25">
      <c r="A9" s="163"/>
      <c r="B9" s="163"/>
      <c r="C9" s="183"/>
      <c r="D9" s="100">
        <v>6653.96261668237</v>
      </c>
      <c r="E9" s="101">
        <v>23.336374578652499</v>
      </c>
      <c r="F9" s="152"/>
      <c r="G9" s="106">
        <v>1260.30958080291</v>
      </c>
      <c r="H9" s="111">
        <f t="shared" si="0"/>
        <v>0.93387507246438428</v>
      </c>
      <c r="I9" s="203"/>
      <c r="J9" s="293"/>
      <c r="K9" s="186"/>
      <c r="L9" s="230"/>
      <c r="M9" s="210"/>
      <c r="N9" s="246"/>
      <c r="O9" s="198"/>
      <c r="P9" s="196"/>
      <c r="R9" s="141"/>
      <c r="S9" s="296"/>
      <c r="T9" s="114"/>
      <c r="U9" s="285"/>
      <c r="V9" s="114"/>
      <c r="W9" s="289"/>
      <c r="X9" s="115"/>
      <c r="Y9" s="285"/>
      <c r="Z9" s="114"/>
      <c r="AA9" s="289"/>
      <c r="AB9" s="120"/>
      <c r="AC9" s="280"/>
      <c r="AD9" s="128"/>
      <c r="AE9" s="283"/>
      <c r="AF9" s="120"/>
      <c r="AG9" s="280"/>
      <c r="AH9" s="128"/>
      <c r="AI9" s="283"/>
      <c r="AK9" s="2">
        <v>6913.5483901009102</v>
      </c>
      <c r="AL9" s="122">
        <v>2987.8613142440199</v>
      </c>
    </row>
    <row r="10" spans="1:38" x14ac:dyDescent="0.25">
      <c r="A10" s="163"/>
      <c r="B10" s="163"/>
      <c r="C10" s="183"/>
      <c r="D10" s="100">
        <v>6754.7243598486803</v>
      </c>
      <c r="E10" s="101">
        <v>26.929514727809199</v>
      </c>
      <c r="F10" s="152"/>
      <c r="G10" s="106">
        <v>1185.02011609077</v>
      </c>
      <c r="H10" s="111">
        <f t="shared" si="0"/>
        <v>0.95954236107380975</v>
      </c>
      <c r="I10" s="203"/>
      <c r="J10" s="293"/>
      <c r="K10" s="186"/>
      <c r="L10" s="230"/>
      <c r="M10" s="210"/>
      <c r="N10" s="246"/>
      <c r="O10" s="198"/>
      <c r="P10" s="196"/>
      <c r="R10" s="141"/>
      <c r="S10" s="296"/>
      <c r="T10" s="114"/>
      <c r="U10" s="285"/>
      <c r="V10" s="114"/>
      <c r="W10" s="289"/>
      <c r="X10" s="115"/>
      <c r="Y10" s="285"/>
      <c r="Z10" s="114"/>
      <c r="AA10" s="289"/>
      <c r="AB10" s="120"/>
      <c r="AC10" s="280"/>
      <c r="AD10" s="128"/>
      <c r="AE10" s="283"/>
      <c r="AF10" s="120"/>
      <c r="AG10" s="280"/>
      <c r="AH10" s="128"/>
      <c r="AI10" s="283"/>
      <c r="AK10" s="2">
        <v>6913.5483901009102</v>
      </c>
      <c r="AL10" s="122">
        <v>2987.8613142440199</v>
      </c>
    </row>
    <row r="11" spans="1:38" x14ac:dyDescent="0.25">
      <c r="A11" s="163"/>
      <c r="B11" s="163"/>
      <c r="C11" s="183"/>
      <c r="D11" s="100">
        <v>6913.5483901009102</v>
      </c>
      <c r="E11" s="101">
        <v>24.4435208699642</v>
      </c>
      <c r="F11" s="152"/>
      <c r="G11" s="106">
        <v>953.40882253646805</v>
      </c>
      <c r="H11" s="111">
        <f t="shared" si="0"/>
        <v>1</v>
      </c>
      <c r="I11" s="203"/>
      <c r="J11" s="293"/>
      <c r="K11" s="186"/>
      <c r="L11" s="230"/>
      <c r="M11" s="210"/>
      <c r="N11" s="246"/>
      <c r="O11" s="198"/>
      <c r="P11" s="196"/>
      <c r="R11" s="141"/>
      <c r="S11" s="296"/>
      <c r="T11" s="114"/>
      <c r="U11" s="285"/>
      <c r="V11" s="114"/>
      <c r="W11" s="289"/>
      <c r="X11" s="115"/>
      <c r="Y11" s="285"/>
      <c r="Z11" s="114"/>
      <c r="AA11" s="289"/>
      <c r="AB11" s="120"/>
      <c r="AC11" s="280"/>
      <c r="AD11" s="128"/>
      <c r="AE11" s="283"/>
      <c r="AF11" s="120"/>
      <c r="AG11" s="280"/>
      <c r="AH11" s="128"/>
      <c r="AI11" s="283"/>
      <c r="AK11" s="2">
        <v>6913.5483901009102</v>
      </c>
      <c r="AL11" s="122">
        <v>2987.8613142440199</v>
      </c>
    </row>
    <row r="12" spans="1:38" ht="14.5" thickBot="1" x14ac:dyDescent="0.3">
      <c r="A12" s="163"/>
      <c r="B12" s="163"/>
      <c r="C12" s="183"/>
      <c r="D12" s="100">
        <v>6814.9716317874099</v>
      </c>
      <c r="E12" s="101">
        <v>20.554301090018601</v>
      </c>
      <c r="F12" s="153"/>
      <c r="G12" s="106">
        <v>883.95542287826504</v>
      </c>
      <c r="H12" s="111">
        <f t="shared" si="0"/>
        <v>0.9748892979983681</v>
      </c>
      <c r="I12" s="203"/>
      <c r="J12" s="293"/>
      <c r="K12" s="186"/>
      <c r="L12" s="230"/>
      <c r="M12" s="210"/>
      <c r="N12" s="246"/>
      <c r="O12" s="198"/>
      <c r="P12" s="196"/>
      <c r="R12" s="141"/>
      <c r="S12" s="296"/>
      <c r="T12" s="114"/>
      <c r="U12" s="285"/>
      <c r="V12" s="114"/>
      <c r="W12" s="289"/>
      <c r="X12" s="115"/>
      <c r="Y12" s="285"/>
      <c r="Z12" s="114"/>
      <c r="AA12" s="290"/>
      <c r="AB12" s="120"/>
      <c r="AC12" s="280"/>
      <c r="AD12" s="128"/>
      <c r="AE12" s="283"/>
      <c r="AF12" s="120"/>
      <c r="AG12" s="280"/>
      <c r="AH12" s="128"/>
      <c r="AI12" s="284"/>
      <c r="AK12" s="2">
        <v>6913.5483901009102</v>
      </c>
      <c r="AL12" s="122">
        <v>2987.8613142440199</v>
      </c>
    </row>
    <row r="13" spans="1:38" x14ac:dyDescent="0.25">
      <c r="A13" s="163"/>
      <c r="B13" s="163"/>
      <c r="C13" s="194" t="s">
        <v>23</v>
      </c>
      <c r="D13" s="98">
        <v>4724.52030619795</v>
      </c>
      <c r="E13" s="99">
        <v>20.249945777433801</v>
      </c>
      <c r="F13" s="151">
        <f t="shared" ref="F13" si="2">AVERAGE(E13:E17)</f>
        <v>21.166088425741318</v>
      </c>
      <c r="G13" s="105">
        <v>1093.64143776893</v>
      </c>
      <c r="H13" s="110">
        <f t="shared" si="0"/>
        <v>0.95808987551024305</v>
      </c>
      <c r="I13" s="202">
        <f>AVERAGE(D13:D17)</f>
        <v>4682.9413892400644</v>
      </c>
      <c r="J13" s="292">
        <f>AVERAGE(H13:H17)</f>
        <v>0.95283137957720798</v>
      </c>
      <c r="K13" s="185">
        <f>MAX(D13:D17)</f>
        <v>5055.9035777731897</v>
      </c>
      <c r="L13" s="229">
        <f>MIN(D13:D17)</f>
        <v>4534.03736833115</v>
      </c>
      <c r="M13" s="211">
        <v>6357.04</v>
      </c>
      <c r="N13" s="250">
        <v>0.25486199999999998</v>
      </c>
      <c r="O13" s="199">
        <v>3613.72</v>
      </c>
      <c r="P13" s="195"/>
      <c r="Q13" s="4"/>
      <c r="R13" s="142">
        <v>3454.0175336559801</v>
      </c>
      <c r="S13" s="296">
        <f>(R13-AL13)/(AK13-AL13)</f>
        <v>0.79740907497162616</v>
      </c>
      <c r="T13" s="118">
        <v>3778.7050129201002</v>
      </c>
      <c r="U13" s="285">
        <f>(T13-AL13)/(AK13-AL13)</f>
        <v>0.83847238094823795</v>
      </c>
      <c r="V13" s="113">
        <v>3622.2526454065201</v>
      </c>
      <c r="W13" s="289">
        <f>(V13-AL13)/(AK13-AL13)</f>
        <v>0.81868581125193807</v>
      </c>
      <c r="X13" s="13">
        <v>3597.49356801047</v>
      </c>
      <c r="Y13" s="285">
        <f>(X13-AL13)/(AK13-AL13)</f>
        <v>0.81555452459710032</v>
      </c>
      <c r="Z13" s="118">
        <v>2129.1307884964499</v>
      </c>
      <c r="AA13" s="288">
        <f>(Z13-AL13)/(AK13-AL13)</f>
        <v>0.62985031993695084</v>
      </c>
      <c r="AB13" s="138">
        <v>4346.6096022079601</v>
      </c>
      <c r="AC13" s="280">
        <f>(AB13-AL13)/(AK13-AL13)</f>
        <v>0.91029541511112733</v>
      </c>
      <c r="AD13" s="127">
        <v>3521.6181005397002</v>
      </c>
      <c r="AE13" s="283">
        <f>(AD13-AL13)/(AK13-AL13)</f>
        <v>0.80595853542027052</v>
      </c>
      <c r="AF13" s="15">
        <v>1066.89639695758</v>
      </c>
      <c r="AG13" s="280">
        <f>(AF13-AL13)/(AK13-AL13)</f>
        <v>0.49550927316329829</v>
      </c>
      <c r="AH13" s="127">
        <v>-2851.0944473992499</v>
      </c>
      <c r="AI13" s="282">
        <f>(AH13-AL13)/(AK13-AL13)</f>
        <v>0</v>
      </c>
      <c r="AJ13" s="10"/>
      <c r="AK13" s="12">
        <f>MAX(D13:D17,R13,T13,V13,X13,Z13,AB13,AD13,AF13,AH13)</f>
        <v>5055.9035777731897</v>
      </c>
      <c r="AL13" s="121">
        <f>MIN(D13:D17,R13,T13,V13,X13,Z13,AB13,AD13,AF13,AH13)</f>
        <v>-2851.0944473992499</v>
      </c>
    </row>
    <row r="14" spans="1:38" x14ac:dyDescent="0.25">
      <c r="A14" s="163"/>
      <c r="B14" s="163"/>
      <c r="C14" s="183"/>
      <c r="D14" s="100">
        <v>4541.1178811887703</v>
      </c>
      <c r="E14" s="101">
        <v>24.381741056636798</v>
      </c>
      <c r="F14" s="152"/>
      <c r="G14" s="106">
        <v>1194.8377339839899</v>
      </c>
      <c r="H14" s="111">
        <f t="shared" si="0"/>
        <v>0.93489492536287921</v>
      </c>
      <c r="I14" s="203"/>
      <c r="J14" s="293"/>
      <c r="K14" s="186"/>
      <c r="L14" s="230"/>
      <c r="M14" s="210"/>
      <c r="N14" s="246"/>
      <c r="O14" s="198"/>
      <c r="P14" s="196"/>
      <c r="R14" s="141"/>
      <c r="S14" s="296"/>
      <c r="T14" s="114"/>
      <c r="U14" s="285"/>
      <c r="V14" s="114"/>
      <c r="W14" s="289"/>
      <c r="X14" s="115"/>
      <c r="Y14" s="285"/>
      <c r="Z14" s="114"/>
      <c r="AA14" s="289"/>
      <c r="AB14" s="120"/>
      <c r="AC14" s="280"/>
      <c r="AD14" s="128"/>
      <c r="AE14" s="283"/>
      <c r="AF14" s="120"/>
      <c r="AG14" s="280"/>
      <c r="AH14" s="128"/>
      <c r="AI14" s="283"/>
      <c r="AK14" s="2">
        <v>5055.9035777731897</v>
      </c>
      <c r="AL14" s="122">
        <v>-2851.0944473992499</v>
      </c>
    </row>
    <row r="15" spans="1:38" x14ac:dyDescent="0.25">
      <c r="A15" s="163"/>
      <c r="B15" s="163"/>
      <c r="C15" s="183"/>
      <c r="D15" s="100">
        <v>4559.1278127092601</v>
      </c>
      <c r="E15" s="101">
        <v>20.907207476465299</v>
      </c>
      <c r="F15" s="152"/>
      <c r="G15" s="106">
        <v>1191.85917711257</v>
      </c>
      <c r="H15" s="111">
        <f t="shared" si="0"/>
        <v>0.93717264586605298</v>
      </c>
      <c r="I15" s="203"/>
      <c r="J15" s="293"/>
      <c r="K15" s="186"/>
      <c r="L15" s="230"/>
      <c r="M15" s="210"/>
      <c r="N15" s="246"/>
      <c r="O15" s="198"/>
      <c r="P15" s="196"/>
      <c r="R15" s="141"/>
      <c r="S15" s="296"/>
      <c r="T15" s="114"/>
      <c r="U15" s="285"/>
      <c r="V15" s="114"/>
      <c r="W15" s="289"/>
      <c r="X15" s="115"/>
      <c r="Y15" s="285"/>
      <c r="Z15" s="114"/>
      <c r="AA15" s="289"/>
      <c r="AB15" s="120"/>
      <c r="AC15" s="280"/>
      <c r="AD15" s="128"/>
      <c r="AE15" s="283"/>
      <c r="AF15" s="120"/>
      <c r="AG15" s="280"/>
      <c r="AH15" s="128"/>
      <c r="AI15" s="283"/>
      <c r="AK15" s="2">
        <v>5055.9035777731897</v>
      </c>
      <c r="AL15" s="122">
        <v>-2851.0944473992499</v>
      </c>
    </row>
    <row r="16" spans="1:38" x14ac:dyDescent="0.25">
      <c r="A16" s="163"/>
      <c r="B16" s="163"/>
      <c r="C16" s="183"/>
      <c r="D16" s="100">
        <v>5055.9035777731897</v>
      </c>
      <c r="E16" s="101">
        <v>19.587761917284499</v>
      </c>
      <c r="F16" s="152"/>
      <c r="G16" s="106">
        <v>1097.0660064220399</v>
      </c>
      <c r="H16" s="111">
        <f t="shared" si="0"/>
        <v>1</v>
      </c>
      <c r="I16" s="203"/>
      <c r="J16" s="293"/>
      <c r="K16" s="186"/>
      <c r="L16" s="230"/>
      <c r="M16" s="210"/>
      <c r="N16" s="246"/>
      <c r="O16" s="198"/>
      <c r="P16" s="196"/>
      <c r="R16" s="141"/>
      <c r="S16" s="296"/>
      <c r="T16" s="114"/>
      <c r="U16" s="285"/>
      <c r="V16" s="114"/>
      <c r="W16" s="289"/>
      <c r="X16" s="115"/>
      <c r="Y16" s="285"/>
      <c r="Z16" s="114"/>
      <c r="AA16" s="289"/>
      <c r="AB16" s="120"/>
      <c r="AC16" s="280"/>
      <c r="AD16" s="128"/>
      <c r="AE16" s="283"/>
      <c r="AF16" s="120"/>
      <c r="AG16" s="280"/>
      <c r="AH16" s="128"/>
      <c r="AI16" s="283"/>
      <c r="AK16" s="2">
        <v>5055.9035777731897</v>
      </c>
      <c r="AL16" s="122">
        <v>-2851.0944473992499</v>
      </c>
    </row>
    <row r="17" spans="1:38" ht="14.5" thickBot="1" x14ac:dyDescent="0.3">
      <c r="A17" s="163"/>
      <c r="B17" s="164"/>
      <c r="C17" s="183"/>
      <c r="D17" s="103">
        <v>4534.03736833115</v>
      </c>
      <c r="E17" s="104">
        <v>20.703785900886199</v>
      </c>
      <c r="F17" s="153"/>
      <c r="G17" s="108">
        <v>1076.7422418594299</v>
      </c>
      <c r="H17" s="112">
        <f t="shared" si="0"/>
        <v>0.93399945114686445</v>
      </c>
      <c r="I17" s="204"/>
      <c r="J17" s="294"/>
      <c r="K17" s="187"/>
      <c r="L17" s="231"/>
      <c r="M17" s="209"/>
      <c r="N17" s="291"/>
      <c r="O17" s="200"/>
      <c r="P17" s="197"/>
      <c r="Q17" s="6"/>
      <c r="R17" s="143"/>
      <c r="S17" s="296"/>
      <c r="T17" s="116"/>
      <c r="U17" s="285"/>
      <c r="V17" s="116"/>
      <c r="W17" s="289"/>
      <c r="X17" s="7"/>
      <c r="Y17" s="285"/>
      <c r="Z17" s="116"/>
      <c r="AA17" s="290"/>
      <c r="AB17" s="9"/>
      <c r="AC17" s="280"/>
      <c r="AD17" s="8"/>
      <c r="AE17" s="283"/>
      <c r="AF17" s="9"/>
      <c r="AG17" s="280"/>
      <c r="AH17" s="8"/>
      <c r="AI17" s="284"/>
      <c r="AJ17" s="11"/>
      <c r="AK17" s="5">
        <v>5055.9035777731897</v>
      </c>
      <c r="AL17" s="123">
        <v>-2851.0944473992499</v>
      </c>
    </row>
    <row r="18" spans="1:38" x14ac:dyDescent="0.25">
      <c r="A18" s="163"/>
      <c r="B18" s="182" t="s">
        <v>10</v>
      </c>
      <c r="C18" s="194" t="s">
        <v>21</v>
      </c>
      <c r="D18" s="100">
        <v>4335.7033687835201</v>
      </c>
      <c r="E18" s="101">
        <v>18.406382015016298</v>
      </c>
      <c r="F18" s="151">
        <f t="shared" ref="F18" si="3">AVERAGE(E18:E22)</f>
        <v>20.452101462254582</v>
      </c>
      <c r="G18" s="106">
        <v>828.40468645095802</v>
      </c>
      <c r="H18" s="111">
        <f t="shared" si="0"/>
        <v>0.99449106381205821</v>
      </c>
      <c r="I18" s="203">
        <f>AVERAGE(D18:D22)</f>
        <v>4248.1293404046673</v>
      </c>
      <c r="J18" s="293">
        <f>AVERAGE(H18:H22)</f>
        <v>0.97966755755476242</v>
      </c>
      <c r="K18" s="186">
        <f>MAX(D18:D22)</f>
        <v>4368.2489572351496</v>
      </c>
      <c r="L18" s="230">
        <f>MIN(D18:D22)</f>
        <v>4082.7228245565102</v>
      </c>
      <c r="M18" s="210">
        <v>5627.55</v>
      </c>
      <c r="N18" s="246">
        <v>0.35065299999999999</v>
      </c>
      <c r="O18" s="198">
        <v>3602.17</v>
      </c>
      <c r="P18" s="196"/>
      <c r="R18" s="141">
        <v>2635.29869397934</v>
      </c>
      <c r="S18" s="296">
        <f>(R18-AL18)/(AK18-AL18)</f>
        <v>0.70666646782736986</v>
      </c>
      <c r="T18" s="117">
        <v>3646.2439340894498</v>
      </c>
      <c r="U18" s="285">
        <f>(T18-AL18)/(AK18-AL18)</f>
        <v>0.87778744250408614</v>
      </c>
      <c r="V18" s="114">
        <v>3299.8230486551402</v>
      </c>
      <c r="W18" s="289">
        <f>(V18-AL18)/(AK18-AL18)</f>
        <v>0.81914937071551575</v>
      </c>
      <c r="X18" s="115">
        <v>3336.2775204639302</v>
      </c>
      <c r="Y18" s="285">
        <f>(X18-AL18)/(AK18-AL18)</f>
        <v>0.82531995691518523</v>
      </c>
      <c r="Z18" s="114">
        <v>1881.1272344644799</v>
      </c>
      <c r="AA18" s="288">
        <f>(Z18-AL18)/(AK18-AL18)</f>
        <v>0.57900915256913865</v>
      </c>
      <c r="AB18" s="119">
        <v>3914.5306545263602</v>
      </c>
      <c r="AC18" s="280">
        <f>(AB18-AL18)/(AK18-AL18)</f>
        <v>0.92319987759204736</v>
      </c>
      <c r="AD18" s="128">
        <v>1383.6089166382999</v>
      </c>
      <c r="AE18" s="283">
        <f>(AD18-AL18)/(AK18-AL18)</f>
        <v>0.49479507638765974</v>
      </c>
      <c r="AF18" s="120">
        <v>343.73844348435699</v>
      </c>
      <c r="AG18" s="280">
        <f>(AF18-AL18)/(AK18-AL18)</f>
        <v>0.31877797690138132</v>
      </c>
      <c r="AH18" s="128">
        <v>-1539.5320264811901</v>
      </c>
      <c r="AI18" s="282">
        <f>(AH18-AL18)/(AK18-AL18)</f>
        <v>0</v>
      </c>
      <c r="AK18" s="2">
        <f>MAX(D18:D22,R18,T18,V18,X18,Z18,AB18,AD18,AF18,AH18)</f>
        <v>4368.2489572351496</v>
      </c>
      <c r="AL18" s="122">
        <f>MIN(D18:D22,R18,T18,V18,X18,Z18,AB18,AD18,AF18,AH18)</f>
        <v>-1539.5320264811901</v>
      </c>
    </row>
    <row r="19" spans="1:38" x14ac:dyDescent="0.25">
      <c r="A19" s="163"/>
      <c r="B19" s="163"/>
      <c r="C19" s="183"/>
      <c r="D19" s="100">
        <v>4368.2489572351496</v>
      </c>
      <c r="E19" s="101">
        <v>19.4021700620651</v>
      </c>
      <c r="F19" s="152"/>
      <c r="G19" s="106">
        <v>737.38801074028004</v>
      </c>
      <c r="H19" s="111">
        <f t="shared" si="0"/>
        <v>1</v>
      </c>
      <c r="I19" s="203"/>
      <c r="J19" s="293"/>
      <c r="K19" s="186"/>
      <c r="L19" s="230"/>
      <c r="M19" s="210"/>
      <c r="N19" s="246"/>
      <c r="O19" s="198"/>
      <c r="P19" s="196"/>
      <c r="R19" s="141"/>
      <c r="S19" s="296"/>
      <c r="T19" s="114"/>
      <c r="U19" s="285"/>
      <c r="V19" s="114"/>
      <c r="W19" s="289"/>
      <c r="X19" s="115"/>
      <c r="Y19" s="285"/>
      <c r="Z19" s="114"/>
      <c r="AA19" s="289"/>
      <c r="AB19" s="120"/>
      <c r="AC19" s="280"/>
      <c r="AD19" s="128"/>
      <c r="AE19" s="283"/>
      <c r="AF19" s="120"/>
      <c r="AG19" s="280"/>
      <c r="AH19" s="128"/>
      <c r="AI19" s="283"/>
      <c r="AK19" s="2">
        <v>4368.2489572351496</v>
      </c>
      <c r="AL19" s="122">
        <v>-1539.5320264811901</v>
      </c>
    </row>
    <row r="20" spans="1:38" x14ac:dyDescent="0.25">
      <c r="A20" s="163"/>
      <c r="B20" s="163"/>
      <c r="C20" s="183"/>
      <c r="D20" s="100">
        <v>4126.2296111454498</v>
      </c>
      <c r="E20" s="101">
        <v>20.233540073037101</v>
      </c>
      <c r="F20" s="152"/>
      <c r="G20" s="106">
        <v>971.33837842941205</v>
      </c>
      <c r="H20" s="111">
        <f t="shared" si="0"/>
        <v>0.95903379851812731</v>
      </c>
      <c r="I20" s="203"/>
      <c r="J20" s="293"/>
      <c r="K20" s="186"/>
      <c r="L20" s="230"/>
      <c r="M20" s="210"/>
      <c r="N20" s="246"/>
      <c r="O20" s="198"/>
      <c r="P20" s="196"/>
      <c r="R20" s="141"/>
      <c r="S20" s="296"/>
      <c r="T20" s="114"/>
      <c r="U20" s="285"/>
      <c r="V20" s="114"/>
      <c r="W20" s="289"/>
      <c r="X20" s="115"/>
      <c r="Y20" s="285"/>
      <c r="Z20" s="114"/>
      <c r="AA20" s="289"/>
      <c r="AB20" s="120"/>
      <c r="AC20" s="280"/>
      <c r="AD20" s="128"/>
      <c r="AE20" s="283"/>
      <c r="AF20" s="120"/>
      <c r="AG20" s="280"/>
      <c r="AH20" s="128"/>
      <c r="AI20" s="283"/>
      <c r="AK20" s="2">
        <v>4368.2489572351496</v>
      </c>
      <c r="AL20" s="122">
        <v>-1539.5320264811901</v>
      </c>
    </row>
    <row r="21" spans="1:38" x14ac:dyDescent="0.25">
      <c r="A21" s="163"/>
      <c r="B21" s="163"/>
      <c r="C21" s="183"/>
      <c r="D21" s="100">
        <v>4082.7228245565102</v>
      </c>
      <c r="E21" s="101">
        <v>20.1252366125583</v>
      </c>
      <c r="F21" s="152"/>
      <c r="G21" s="106">
        <v>805.11799788475003</v>
      </c>
      <c r="H21" s="111">
        <f t="shared" si="0"/>
        <v>0.9516694790369451</v>
      </c>
      <c r="I21" s="203"/>
      <c r="J21" s="293"/>
      <c r="K21" s="186"/>
      <c r="L21" s="230"/>
      <c r="M21" s="210"/>
      <c r="N21" s="246"/>
      <c r="O21" s="198"/>
      <c r="P21" s="196"/>
      <c r="R21" s="141"/>
      <c r="S21" s="296"/>
      <c r="T21" s="114"/>
      <c r="U21" s="285"/>
      <c r="V21" s="114"/>
      <c r="W21" s="289"/>
      <c r="X21" s="115"/>
      <c r="Y21" s="285"/>
      <c r="Z21" s="114"/>
      <c r="AA21" s="289"/>
      <c r="AB21" s="120"/>
      <c r="AC21" s="280"/>
      <c r="AD21" s="128"/>
      <c r="AE21" s="283"/>
      <c r="AF21" s="120"/>
      <c r="AG21" s="280"/>
      <c r="AH21" s="128"/>
      <c r="AI21" s="283"/>
      <c r="AK21" s="2">
        <v>4368.2489572351496</v>
      </c>
      <c r="AL21" s="122">
        <v>-1539.5320264811901</v>
      </c>
    </row>
    <row r="22" spans="1:38" ht="14.5" thickBot="1" x14ac:dyDescent="0.3">
      <c r="A22" s="163"/>
      <c r="B22" s="163"/>
      <c r="C22" s="183"/>
      <c r="D22" s="100">
        <v>4327.7419403027097</v>
      </c>
      <c r="E22" s="101">
        <v>24.0931785485961</v>
      </c>
      <c r="F22" s="153"/>
      <c r="G22" s="106">
        <v>1060.2163431644401</v>
      </c>
      <c r="H22" s="111">
        <f t="shared" si="0"/>
        <v>0.9931434464066814</v>
      </c>
      <c r="I22" s="203"/>
      <c r="J22" s="293"/>
      <c r="K22" s="186"/>
      <c r="L22" s="230"/>
      <c r="M22" s="210"/>
      <c r="N22" s="246"/>
      <c r="O22" s="198"/>
      <c r="P22" s="196"/>
      <c r="R22" s="143"/>
      <c r="S22" s="296"/>
      <c r="T22" s="116"/>
      <c r="U22" s="285"/>
      <c r="V22" s="116"/>
      <c r="W22" s="289"/>
      <c r="X22" s="7"/>
      <c r="Y22" s="285"/>
      <c r="Z22" s="116"/>
      <c r="AA22" s="290"/>
      <c r="AB22" s="9"/>
      <c r="AC22" s="281"/>
      <c r="AD22" s="8"/>
      <c r="AE22" s="284"/>
      <c r="AF22" s="9"/>
      <c r="AG22" s="281"/>
      <c r="AH22" s="128"/>
      <c r="AI22" s="283"/>
      <c r="AK22" s="2">
        <v>4368.2489572351496</v>
      </c>
      <c r="AL22" s="122">
        <v>-1539.5320264811901</v>
      </c>
    </row>
    <row r="23" spans="1:38" x14ac:dyDescent="0.25">
      <c r="A23" s="163"/>
      <c r="B23" s="163"/>
      <c r="C23" s="194" t="s">
        <v>22</v>
      </c>
      <c r="D23" s="98">
        <v>5427.3828969877304</v>
      </c>
      <c r="E23" s="99">
        <v>22.9172433767563</v>
      </c>
      <c r="F23" s="151">
        <f t="shared" ref="F23" si="4">AVERAGE(E23:E27)</f>
        <v>21.193192825060738</v>
      </c>
      <c r="G23" s="105">
        <v>893.885005235672</v>
      </c>
      <c r="H23" s="110">
        <f t="shared" si="0"/>
        <v>0.9619188486813508</v>
      </c>
      <c r="I23" s="202">
        <f>AVERAGE(D23:D27)</f>
        <v>5671.9350675718597</v>
      </c>
      <c r="J23" s="292">
        <f>AVERAGE(H23:H27)</f>
        <v>0.9788901609612779</v>
      </c>
      <c r="K23" s="185">
        <f>MAX(D23:D27)</f>
        <v>5976.12232619104</v>
      </c>
      <c r="L23" s="229">
        <f>MIN(D23:D27)</f>
        <v>5427.3828969877304</v>
      </c>
      <c r="M23" s="211">
        <v>6989.95</v>
      </c>
      <c r="N23" s="250">
        <v>0.25985900000000001</v>
      </c>
      <c r="O23" s="199">
        <v>3601.99</v>
      </c>
      <c r="P23" s="195"/>
      <c r="R23" s="141">
        <v>4453.3954484337901</v>
      </c>
      <c r="S23" s="295">
        <f>(R23-AL23)/(AK23-AL23)</f>
        <v>0.89432654268522838</v>
      </c>
      <c r="T23" s="117">
        <v>5074.3522023627402</v>
      </c>
      <c r="U23" s="286">
        <f>(T23-AL23)/(AK23-AL23)</f>
        <v>0.93741939668888041</v>
      </c>
      <c r="V23" s="114">
        <v>4139.8949057289001</v>
      </c>
      <c r="W23" s="288">
        <f>(V23-AL23)/(AK23-AL23)</f>
        <v>0.87257038489908856</v>
      </c>
      <c r="X23" s="115">
        <v>3493.3556739154301</v>
      </c>
      <c r="Y23" s="286">
        <f>(X23-AL23)/(AK23-AL23)</f>
        <v>0.82770217057033502</v>
      </c>
      <c r="Z23" s="114">
        <v>3759.81153391013</v>
      </c>
      <c r="AA23" s="288">
        <f>(Z23-AL23)/(AK23-AL23)</f>
        <v>0.84619354440678562</v>
      </c>
      <c r="AB23" s="120">
        <v>4197.8253896367196</v>
      </c>
      <c r="AC23" s="279">
        <f>(AB23-AL23)/(AK23-AL23)</f>
        <v>0.87659061637190083</v>
      </c>
      <c r="AD23" s="129">
        <v>4653.1306010252601</v>
      </c>
      <c r="AE23" s="282">
        <f>(AD23-AL23)/(AK23-AL23)</f>
        <v>0.90818766540522744</v>
      </c>
      <c r="AF23" s="120">
        <v>1081.91856910349</v>
      </c>
      <c r="AG23" s="279">
        <f>(AF23-AL23)/(AK23-AL23)</f>
        <v>0.66035443429216534</v>
      </c>
      <c r="AH23" s="127">
        <v>-8433.6160929984999</v>
      </c>
      <c r="AI23" s="282">
        <f>(AH23-AL23)/(AK23-AL23)</f>
        <v>0</v>
      </c>
      <c r="AJ23" s="131"/>
      <c r="AK23" s="12">
        <f>MAX(D23:D27,R23,T23,V23,X23,Z23,AB23,AD23,AF23,AH23)</f>
        <v>5976.12232619104</v>
      </c>
      <c r="AL23" s="121">
        <f>MIN(D23:D27,R23,T23,V23,X23,Z23,AB23,AD23,AF23,AH23)</f>
        <v>-8433.6160929984999</v>
      </c>
    </row>
    <row r="24" spans="1:38" x14ac:dyDescent="0.25">
      <c r="A24" s="163"/>
      <c r="B24" s="163"/>
      <c r="C24" s="183"/>
      <c r="D24" s="100">
        <v>5976.12232619104</v>
      </c>
      <c r="E24" s="101">
        <v>20.193781992284201</v>
      </c>
      <c r="F24" s="152"/>
      <c r="G24" s="106">
        <v>828.05757546424798</v>
      </c>
      <c r="H24" s="111">
        <f t="shared" si="0"/>
        <v>1</v>
      </c>
      <c r="I24" s="203"/>
      <c r="J24" s="293"/>
      <c r="K24" s="186"/>
      <c r="L24" s="230"/>
      <c r="M24" s="210"/>
      <c r="N24" s="246"/>
      <c r="O24" s="198"/>
      <c r="P24" s="196"/>
      <c r="R24" s="141"/>
      <c r="S24" s="296"/>
      <c r="T24" s="114"/>
      <c r="U24" s="285"/>
      <c r="V24" s="114"/>
      <c r="W24" s="289"/>
      <c r="X24" s="115"/>
      <c r="Y24" s="285"/>
      <c r="Z24" s="114"/>
      <c r="AA24" s="289"/>
      <c r="AB24" s="120"/>
      <c r="AC24" s="280"/>
      <c r="AD24" s="128"/>
      <c r="AE24" s="283"/>
      <c r="AF24" s="120"/>
      <c r="AG24" s="280"/>
      <c r="AH24" s="128"/>
      <c r="AI24" s="283"/>
      <c r="AJ24" s="132"/>
      <c r="AK24" s="2">
        <v>5976.12232619104</v>
      </c>
      <c r="AL24" s="122">
        <v>-8433.6160929984999</v>
      </c>
    </row>
    <row r="25" spans="1:38" x14ac:dyDescent="0.25">
      <c r="A25" s="163"/>
      <c r="B25" s="163"/>
      <c r="C25" s="183"/>
      <c r="D25" s="100">
        <v>5733.1575952805797</v>
      </c>
      <c r="E25" s="101">
        <v>22.836048815561298</v>
      </c>
      <c r="F25" s="152"/>
      <c r="G25" s="106">
        <v>1050.58269667625</v>
      </c>
      <c r="H25" s="111">
        <f t="shared" si="0"/>
        <v>0.98313885208444152</v>
      </c>
      <c r="I25" s="203"/>
      <c r="J25" s="293"/>
      <c r="K25" s="186"/>
      <c r="L25" s="230"/>
      <c r="M25" s="210"/>
      <c r="N25" s="246"/>
      <c r="O25" s="198"/>
      <c r="P25" s="196"/>
      <c r="R25" s="141"/>
      <c r="S25" s="296"/>
      <c r="T25" s="114"/>
      <c r="U25" s="285"/>
      <c r="V25" s="114"/>
      <c r="W25" s="289"/>
      <c r="X25" s="115"/>
      <c r="Y25" s="285"/>
      <c r="Z25" s="114"/>
      <c r="AA25" s="289"/>
      <c r="AB25" s="120"/>
      <c r="AC25" s="280"/>
      <c r="AD25" s="128"/>
      <c r="AE25" s="283"/>
      <c r="AF25" s="120"/>
      <c r="AG25" s="280"/>
      <c r="AH25" s="128"/>
      <c r="AI25" s="283"/>
      <c r="AJ25" s="132"/>
      <c r="AK25" s="2">
        <v>5976.12232619104</v>
      </c>
      <c r="AL25" s="122">
        <v>-8433.6160929984999</v>
      </c>
    </row>
    <row r="26" spans="1:38" x14ac:dyDescent="0.25">
      <c r="A26" s="163"/>
      <c r="B26" s="163"/>
      <c r="C26" s="183"/>
      <c r="D26" s="100">
        <v>5647.7432242363902</v>
      </c>
      <c r="E26" s="101">
        <v>19.652425625385298</v>
      </c>
      <c r="F26" s="152"/>
      <c r="G26" s="106">
        <v>766.55274605751003</v>
      </c>
      <c r="H26" s="111">
        <f t="shared" si="0"/>
        <v>0.97721130721447758</v>
      </c>
      <c r="I26" s="203"/>
      <c r="J26" s="293"/>
      <c r="K26" s="186"/>
      <c r="L26" s="230"/>
      <c r="M26" s="210"/>
      <c r="N26" s="246"/>
      <c r="O26" s="198"/>
      <c r="P26" s="196"/>
      <c r="R26" s="141"/>
      <c r="S26" s="296"/>
      <c r="T26" s="114"/>
      <c r="U26" s="285"/>
      <c r="V26" s="114"/>
      <c r="W26" s="289"/>
      <c r="X26" s="115"/>
      <c r="Y26" s="285"/>
      <c r="Z26" s="114"/>
      <c r="AA26" s="289"/>
      <c r="AB26" s="120"/>
      <c r="AC26" s="280"/>
      <c r="AD26" s="128"/>
      <c r="AE26" s="283"/>
      <c r="AF26" s="120"/>
      <c r="AG26" s="280"/>
      <c r="AH26" s="128"/>
      <c r="AI26" s="283"/>
      <c r="AJ26" s="132"/>
      <c r="AK26" s="2">
        <v>5976.12232619104</v>
      </c>
      <c r="AL26" s="122">
        <v>-8433.6160929984999</v>
      </c>
    </row>
    <row r="27" spans="1:38" ht="14.5" thickBot="1" x14ac:dyDescent="0.3">
      <c r="A27" s="163"/>
      <c r="B27" s="163"/>
      <c r="C27" s="183"/>
      <c r="D27" s="103">
        <v>5575.2692951635599</v>
      </c>
      <c r="E27" s="104">
        <v>20.366464315316598</v>
      </c>
      <c r="F27" s="153"/>
      <c r="G27" s="108">
        <v>794.40162515640202</v>
      </c>
      <c r="H27" s="112">
        <f t="shared" si="0"/>
        <v>0.97218179682611994</v>
      </c>
      <c r="I27" s="204"/>
      <c r="J27" s="294"/>
      <c r="K27" s="187"/>
      <c r="L27" s="231"/>
      <c r="M27" s="209"/>
      <c r="N27" s="291"/>
      <c r="O27" s="200"/>
      <c r="P27" s="197"/>
      <c r="R27" s="141"/>
      <c r="S27" s="296"/>
      <c r="T27" s="114"/>
      <c r="U27" s="285"/>
      <c r="V27" s="114"/>
      <c r="W27" s="289"/>
      <c r="X27" s="115"/>
      <c r="Y27" s="285"/>
      <c r="Z27" s="114"/>
      <c r="AA27" s="290"/>
      <c r="AB27" s="120"/>
      <c r="AC27" s="281"/>
      <c r="AD27" s="128"/>
      <c r="AE27" s="284"/>
      <c r="AF27" s="120"/>
      <c r="AG27" s="281"/>
      <c r="AH27" s="8"/>
      <c r="AI27" s="284"/>
      <c r="AJ27" s="133"/>
      <c r="AK27" s="5">
        <v>5976.12232619104</v>
      </c>
      <c r="AL27" s="123">
        <v>-8433.6160929984999</v>
      </c>
    </row>
    <row r="28" spans="1:38" x14ac:dyDescent="0.25">
      <c r="A28" s="163"/>
      <c r="B28" s="163"/>
      <c r="C28" s="194" t="s">
        <v>23</v>
      </c>
      <c r="D28" s="100">
        <v>3293.7403314776798</v>
      </c>
      <c r="E28" s="101">
        <v>20.9992920414346</v>
      </c>
      <c r="F28" s="151">
        <f t="shared" ref="F28" si="5">AVERAGE(E28:E32)</f>
        <v>21.38172763541936</v>
      </c>
      <c r="G28" s="106">
        <v>1281.11411976814</v>
      </c>
      <c r="H28" s="111">
        <f t="shared" si="0"/>
        <v>0.95268862389337128</v>
      </c>
      <c r="I28" s="203">
        <f>AVERAGE(D28:D32)</f>
        <v>3406.0873028424458</v>
      </c>
      <c r="J28" s="293">
        <f>AVERAGE(H28:H32)</f>
        <v>0.96537453449101007</v>
      </c>
      <c r="K28" s="186">
        <f>MAX(D28:D32)</f>
        <v>3712.7319187010999</v>
      </c>
      <c r="L28" s="230">
        <f>MIN(D28:D32)</f>
        <v>3287.8723260075299</v>
      </c>
      <c r="M28" s="210">
        <v>4497.08</v>
      </c>
      <c r="N28" s="246">
        <v>0.30965700000000002</v>
      </c>
      <c r="O28" s="198">
        <v>3608.29</v>
      </c>
      <c r="P28" s="196"/>
      <c r="R28" s="142">
        <v>1189.65177251876</v>
      </c>
      <c r="S28" s="295">
        <f>(R28-AL28)/(AK28-AL28)</f>
        <v>0.71510073857509637</v>
      </c>
      <c r="T28" s="118">
        <v>2571.2421644958899</v>
      </c>
      <c r="U28" s="286">
        <f>(T28-AL28)/(AK28-AL28)</f>
        <v>0.87110612067189697</v>
      </c>
      <c r="V28" s="113">
        <v>3121.0997768553498</v>
      </c>
      <c r="W28" s="288">
        <f>(V28-AL28)/(AK28-AL28)</f>
        <v>0.93319452792566726</v>
      </c>
      <c r="X28" s="13">
        <v>2551.3210706463801</v>
      </c>
      <c r="Y28" s="286">
        <f>(X28-AL28)/(AK28-AL28)</f>
        <v>0.86885668561804474</v>
      </c>
      <c r="Z28" s="118">
        <v>2197.4015757635002</v>
      </c>
      <c r="AA28" s="288">
        <f>(Z28-AL28)/(AK28-AL28)</f>
        <v>0.82889307096689091</v>
      </c>
      <c r="AB28" s="15">
        <v>2995.89009637974</v>
      </c>
      <c r="AC28" s="279">
        <f>(AB28-AL28)/(AK28-AL28)</f>
        <v>0.91905619563974084</v>
      </c>
      <c r="AD28" s="130">
        <v>3375.2655751423799</v>
      </c>
      <c r="AE28" s="282">
        <f>(AD28-AL28)/(AK28-AL28)</f>
        <v>0.96189422988361395</v>
      </c>
      <c r="AF28" s="15">
        <v>-1846.0791882855699</v>
      </c>
      <c r="AG28" s="279">
        <f>(AF28-AL28)/(AK28-AL28)</f>
        <v>0.37231435902765758</v>
      </c>
      <c r="AH28" s="128">
        <v>-5143.3112088357402</v>
      </c>
      <c r="AI28" s="283">
        <f>(AH28-AL28)/(AK28-AL28)</f>
        <v>0</v>
      </c>
      <c r="AK28" s="2">
        <f>MAX(D28:D32,R28,T28,V28,X28,Z28,AB28,AD28,AF28,AH28)</f>
        <v>3712.7319187010999</v>
      </c>
      <c r="AL28" s="122">
        <f>MIN(D28:D32,R28,T28,V28,X28,Z28,AB28,AD28,AF28,AH28)</f>
        <v>-5143.3112088357402</v>
      </c>
    </row>
    <row r="29" spans="1:38" x14ac:dyDescent="0.25">
      <c r="A29" s="163"/>
      <c r="B29" s="163"/>
      <c r="C29" s="183"/>
      <c r="D29" s="100">
        <v>3305.28034273095</v>
      </c>
      <c r="E29" s="101">
        <v>22.723414312329201</v>
      </c>
      <c r="F29" s="152"/>
      <c r="G29" s="106">
        <v>1295.3939070701599</v>
      </c>
      <c r="H29" s="111">
        <f t="shared" si="0"/>
        <v>0.95399169018235397</v>
      </c>
      <c r="I29" s="203"/>
      <c r="J29" s="293"/>
      <c r="K29" s="186"/>
      <c r="L29" s="230"/>
      <c r="M29" s="210"/>
      <c r="N29" s="246"/>
      <c r="O29" s="198"/>
      <c r="P29" s="196"/>
      <c r="R29" s="141"/>
      <c r="S29" s="296"/>
      <c r="T29" s="114"/>
      <c r="U29" s="285"/>
      <c r="V29" s="114"/>
      <c r="W29" s="289"/>
      <c r="X29" s="115"/>
      <c r="Y29" s="285"/>
      <c r="Z29" s="114"/>
      <c r="AA29" s="289"/>
      <c r="AB29" s="120"/>
      <c r="AC29" s="280"/>
      <c r="AD29" s="128"/>
      <c r="AE29" s="283"/>
      <c r="AF29" s="120"/>
      <c r="AG29" s="280"/>
      <c r="AH29" s="128"/>
      <c r="AI29" s="283"/>
      <c r="AK29" s="2">
        <v>3712.7319187010999</v>
      </c>
      <c r="AL29" s="122">
        <v>-5143.3112088357402</v>
      </c>
    </row>
    <row r="30" spans="1:38" x14ac:dyDescent="0.25">
      <c r="A30" s="163"/>
      <c r="B30" s="163"/>
      <c r="C30" s="183"/>
      <c r="D30" s="100">
        <v>3712.7319187010999</v>
      </c>
      <c r="E30" s="101">
        <v>21.7405451920072</v>
      </c>
      <c r="F30" s="152"/>
      <c r="G30" s="106">
        <v>1282.8504688739699</v>
      </c>
      <c r="H30" s="111">
        <f t="shared" si="0"/>
        <v>1</v>
      </c>
      <c r="I30" s="203"/>
      <c r="J30" s="293"/>
      <c r="K30" s="186"/>
      <c r="L30" s="230"/>
      <c r="M30" s="210"/>
      <c r="N30" s="246"/>
      <c r="O30" s="198"/>
      <c r="P30" s="196"/>
      <c r="R30" s="141"/>
      <c r="S30" s="296"/>
      <c r="T30" s="114"/>
      <c r="U30" s="285"/>
      <c r="V30" s="114"/>
      <c r="W30" s="289"/>
      <c r="X30" s="115"/>
      <c r="Y30" s="285"/>
      <c r="Z30" s="114"/>
      <c r="AA30" s="289"/>
      <c r="AB30" s="120"/>
      <c r="AC30" s="280"/>
      <c r="AD30" s="128"/>
      <c r="AE30" s="283"/>
      <c r="AF30" s="120"/>
      <c r="AG30" s="280"/>
      <c r="AH30" s="128"/>
      <c r="AI30" s="283"/>
      <c r="AK30" s="2">
        <v>3712.7319187010999</v>
      </c>
      <c r="AL30" s="122">
        <v>-5143.3112088357402</v>
      </c>
    </row>
    <row r="31" spans="1:38" x14ac:dyDescent="0.25">
      <c r="A31" s="163"/>
      <c r="B31" s="163"/>
      <c r="C31" s="183"/>
      <c r="D31" s="100">
        <v>3287.8723260075299</v>
      </c>
      <c r="E31" s="101">
        <v>18.422368025078399</v>
      </c>
      <c r="F31" s="152"/>
      <c r="G31" s="106">
        <v>1252.9009191989801</v>
      </c>
      <c r="H31" s="111">
        <f t="shared" si="0"/>
        <v>0.95202602487644661</v>
      </c>
      <c r="I31" s="203"/>
      <c r="J31" s="293"/>
      <c r="K31" s="186"/>
      <c r="L31" s="230"/>
      <c r="M31" s="210"/>
      <c r="N31" s="246"/>
      <c r="O31" s="198"/>
      <c r="P31" s="196"/>
      <c r="R31" s="141"/>
      <c r="S31" s="296"/>
      <c r="T31" s="114"/>
      <c r="U31" s="285"/>
      <c r="V31" s="114"/>
      <c r="W31" s="289"/>
      <c r="X31" s="115"/>
      <c r="Y31" s="285"/>
      <c r="Z31" s="114"/>
      <c r="AA31" s="289"/>
      <c r="AB31" s="120"/>
      <c r="AC31" s="280"/>
      <c r="AD31" s="128"/>
      <c r="AE31" s="283"/>
      <c r="AF31" s="120"/>
      <c r="AG31" s="280"/>
      <c r="AH31" s="128"/>
      <c r="AI31" s="283"/>
      <c r="AK31" s="2">
        <v>3712.7319187010999</v>
      </c>
      <c r="AL31" s="122">
        <v>-5143.3112088357402</v>
      </c>
    </row>
    <row r="32" spans="1:38" ht="14.5" thickBot="1" x14ac:dyDescent="0.3">
      <c r="A32" s="163"/>
      <c r="B32" s="164"/>
      <c r="C32" s="183"/>
      <c r="D32" s="100">
        <v>3430.8115952949702</v>
      </c>
      <c r="E32" s="101">
        <v>23.023018606247401</v>
      </c>
      <c r="F32" s="153"/>
      <c r="G32" s="106">
        <v>1427.57849764823</v>
      </c>
      <c r="H32" s="111">
        <f t="shared" si="0"/>
        <v>0.96816633350287906</v>
      </c>
      <c r="I32" s="203"/>
      <c r="J32" s="293"/>
      <c r="K32" s="186"/>
      <c r="L32" s="230"/>
      <c r="M32" s="210"/>
      <c r="N32" s="246"/>
      <c r="O32" s="198"/>
      <c r="P32" s="196"/>
      <c r="R32" s="141"/>
      <c r="S32" s="296"/>
      <c r="T32" s="114"/>
      <c r="U32" s="285"/>
      <c r="V32" s="114"/>
      <c r="W32" s="289"/>
      <c r="X32" s="115"/>
      <c r="Y32" s="285"/>
      <c r="Z32" s="114"/>
      <c r="AA32" s="290"/>
      <c r="AB32" s="120"/>
      <c r="AC32" s="280"/>
      <c r="AD32" s="128"/>
      <c r="AE32" s="283"/>
      <c r="AF32" s="120"/>
      <c r="AG32" s="280"/>
      <c r="AH32" s="128"/>
      <c r="AI32" s="284"/>
      <c r="AK32" s="2">
        <v>3712.7319187010999</v>
      </c>
      <c r="AL32" s="122">
        <v>-5143.3112088357402</v>
      </c>
    </row>
    <row r="33" spans="1:38" x14ac:dyDescent="0.25">
      <c r="A33" s="163"/>
      <c r="B33" s="182" t="s">
        <v>11</v>
      </c>
      <c r="C33" s="194" t="s">
        <v>21</v>
      </c>
      <c r="D33" s="98">
        <v>5415.4306950779401</v>
      </c>
      <c r="E33" s="99">
        <v>25.894643117080999</v>
      </c>
      <c r="F33" s="151">
        <f t="shared" ref="F33" si="6">AVERAGE(E33:E37)</f>
        <v>22.854234636665684</v>
      </c>
      <c r="G33" s="105">
        <v>1139.4817900657599</v>
      </c>
      <c r="H33" s="110">
        <f t="shared" si="0"/>
        <v>0.94526307816694488</v>
      </c>
      <c r="I33" s="202">
        <f>AVERAGE(D33:D37)</f>
        <v>5507.1428785519429</v>
      </c>
      <c r="J33" s="292">
        <f>AVERAGE(H33:H37)</f>
        <v>0.96337617207099269</v>
      </c>
      <c r="K33" s="185">
        <f>MAX(D33:D37)</f>
        <v>5692.5806201293099</v>
      </c>
      <c r="L33" s="229">
        <f>MIN(D33:D37)</f>
        <v>5283.3793231548098</v>
      </c>
      <c r="M33" s="211">
        <v>6912.11</v>
      </c>
      <c r="N33" s="250">
        <v>0.29478100000000002</v>
      </c>
      <c r="O33" s="199">
        <v>3619.28</v>
      </c>
      <c r="P33" s="195"/>
      <c r="Q33" s="4"/>
      <c r="R33" s="142">
        <v>3860.7761492437699</v>
      </c>
      <c r="S33" s="295">
        <f>(R33-AL33)/(AK33-AL33)</f>
        <v>0.63821986198366021</v>
      </c>
      <c r="T33" s="118">
        <v>5363.6806063243002</v>
      </c>
      <c r="U33" s="286">
        <f>(T33-AL33)/(AK33-AL33)</f>
        <v>0.93504247080998226</v>
      </c>
      <c r="V33" s="113">
        <v>4926.0833860356597</v>
      </c>
      <c r="W33" s="288">
        <f>(V33-AL33)/(AK33-AL33)</f>
        <v>0.84861731721536415</v>
      </c>
      <c r="X33" s="13">
        <v>2384.7929953402499</v>
      </c>
      <c r="Y33" s="286">
        <f>(X33-AL33)/(AK33-AL33)</f>
        <v>0.34671419223776873</v>
      </c>
      <c r="Z33" s="118">
        <v>1325.9045953764901</v>
      </c>
      <c r="AA33" s="288">
        <f>(Z33-AL33)/(AK33-AL33)</f>
        <v>0.13758445291706639</v>
      </c>
      <c r="AB33" s="14">
        <v>5340.7774651652899</v>
      </c>
      <c r="AC33" s="279">
        <f>(AB33-AL33)/(AK33-AL33)</f>
        <v>0.93051911599716819</v>
      </c>
      <c r="AD33" s="127">
        <v>5208.5693644133298</v>
      </c>
      <c r="AE33" s="282">
        <f>(AD33-AL33)/(AK33-AL33)</f>
        <v>0.9044081059537219</v>
      </c>
      <c r="AF33" s="15">
        <v>2997.4719666260999</v>
      </c>
      <c r="AG33" s="279">
        <f>(AF33-AL33)/(AK33-AL33)</f>
        <v>0.46771787266024867</v>
      </c>
      <c r="AH33" s="127">
        <v>629.27205673104197</v>
      </c>
      <c r="AI33" s="283">
        <f>(AH33-AL33)/(AK33-AL33)</f>
        <v>0</v>
      </c>
      <c r="AJ33" s="10"/>
      <c r="AK33" s="12">
        <f>MAX(D33:D37,R33,T33,V33,X33,Z33,AB33,AD33,AF33,AH33)</f>
        <v>5692.5806201293099</v>
      </c>
      <c r="AL33" s="121">
        <f>MIN(D33:D37,R33,T33,V33,X33,Z33,AB33,AD33,AF33,AH33)</f>
        <v>629.27205673104197</v>
      </c>
    </row>
    <row r="34" spans="1:38" x14ac:dyDescent="0.25">
      <c r="A34" s="163"/>
      <c r="B34" s="163"/>
      <c r="C34" s="183"/>
      <c r="D34" s="100">
        <v>5476.9017363869798</v>
      </c>
      <c r="E34" s="101">
        <v>23.038111158445702</v>
      </c>
      <c r="F34" s="152"/>
      <c r="G34" s="106">
        <v>1175.07608771324</v>
      </c>
      <c r="H34" s="111">
        <f t="shared" si="0"/>
        <v>0.95740356704676599</v>
      </c>
      <c r="I34" s="203"/>
      <c r="J34" s="293"/>
      <c r="K34" s="186"/>
      <c r="L34" s="230"/>
      <c r="M34" s="210"/>
      <c r="N34" s="246"/>
      <c r="O34" s="198"/>
      <c r="P34" s="196"/>
      <c r="R34" s="141"/>
      <c r="S34" s="296"/>
      <c r="T34" s="114"/>
      <c r="U34" s="285"/>
      <c r="V34" s="114"/>
      <c r="W34" s="289"/>
      <c r="X34" s="115"/>
      <c r="Y34" s="285"/>
      <c r="Z34" s="114"/>
      <c r="AA34" s="289"/>
      <c r="AB34" s="120"/>
      <c r="AC34" s="280"/>
      <c r="AD34" s="128"/>
      <c r="AE34" s="283"/>
      <c r="AF34" s="120"/>
      <c r="AG34" s="280"/>
      <c r="AH34" s="128"/>
      <c r="AI34" s="283"/>
      <c r="AK34" s="2">
        <v>5692.5806201293099</v>
      </c>
      <c r="AL34" s="122">
        <v>629.27205673104197</v>
      </c>
    </row>
    <row r="35" spans="1:38" x14ac:dyDescent="0.25">
      <c r="A35" s="163"/>
      <c r="B35" s="163"/>
      <c r="C35" s="183"/>
      <c r="D35" s="100">
        <v>5692.5806201293099</v>
      </c>
      <c r="E35" s="101">
        <v>22.219099328873</v>
      </c>
      <c r="F35" s="152"/>
      <c r="G35" s="106">
        <v>1044.4320790767599</v>
      </c>
      <c r="H35" s="111">
        <f t="shared" si="0"/>
        <v>1</v>
      </c>
      <c r="I35" s="203"/>
      <c r="J35" s="293"/>
      <c r="K35" s="186"/>
      <c r="L35" s="230"/>
      <c r="M35" s="210"/>
      <c r="N35" s="246"/>
      <c r="O35" s="198"/>
      <c r="P35" s="196"/>
      <c r="R35" s="141"/>
      <c r="S35" s="296"/>
      <c r="T35" s="114"/>
      <c r="U35" s="285"/>
      <c r="V35" s="114"/>
      <c r="W35" s="289"/>
      <c r="X35" s="115"/>
      <c r="Y35" s="285"/>
      <c r="Z35" s="114"/>
      <c r="AA35" s="289"/>
      <c r="AB35" s="120"/>
      <c r="AC35" s="280"/>
      <c r="AD35" s="128"/>
      <c r="AE35" s="283"/>
      <c r="AF35" s="120"/>
      <c r="AG35" s="280"/>
      <c r="AH35" s="128"/>
      <c r="AI35" s="283"/>
      <c r="AK35" s="2">
        <v>5692.5806201293099</v>
      </c>
      <c r="AL35" s="122">
        <v>629.27205673104197</v>
      </c>
    </row>
    <row r="36" spans="1:38" x14ac:dyDescent="0.25">
      <c r="A36" s="163"/>
      <c r="B36" s="163"/>
      <c r="C36" s="183"/>
      <c r="D36" s="100">
        <v>5667.4220180106704</v>
      </c>
      <c r="E36" s="101">
        <v>22.397611773931001</v>
      </c>
      <c r="F36" s="152"/>
      <c r="G36" s="106">
        <v>1164.81221413612</v>
      </c>
      <c r="H36" s="111">
        <f t="shared" si="0"/>
        <v>0.99503119318058031</v>
      </c>
      <c r="I36" s="203"/>
      <c r="J36" s="293"/>
      <c r="K36" s="186"/>
      <c r="L36" s="230"/>
      <c r="M36" s="210"/>
      <c r="N36" s="246"/>
      <c r="O36" s="198"/>
      <c r="P36" s="196"/>
      <c r="R36" s="141"/>
      <c r="S36" s="296"/>
      <c r="T36" s="114"/>
      <c r="U36" s="285"/>
      <c r="V36" s="114"/>
      <c r="W36" s="289"/>
      <c r="X36" s="115"/>
      <c r="Y36" s="285"/>
      <c r="Z36" s="114"/>
      <c r="AA36" s="289"/>
      <c r="AB36" s="120"/>
      <c r="AC36" s="280"/>
      <c r="AD36" s="128"/>
      <c r="AE36" s="283"/>
      <c r="AF36" s="120"/>
      <c r="AG36" s="280"/>
      <c r="AH36" s="128"/>
      <c r="AI36" s="283"/>
      <c r="AK36" s="2">
        <v>5692.5806201293099</v>
      </c>
      <c r="AL36" s="122">
        <v>629.27205673104197</v>
      </c>
    </row>
    <row r="37" spans="1:38" ht="14.5" thickBot="1" x14ac:dyDescent="0.3">
      <c r="A37" s="163"/>
      <c r="B37" s="163"/>
      <c r="C37" s="183"/>
      <c r="D37" s="103">
        <v>5283.3793231548098</v>
      </c>
      <c r="E37" s="104">
        <v>20.721707804997699</v>
      </c>
      <c r="F37" s="153"/>
      <c r="G37" s="108">
        <v>932.60031509399403</v>
      </c>
      <c r="H37" s="112">
        <f t="shared" si="0"/>
        <v>0.91918302196067181</v>
      </c>
      <c r="I37" s="204"/>
      <c r="J37" s="294"/>
      <c r="K37" s="187"/>
      <c r="L37" s="231"/>
      <c r="M37" s="209"/>
      <c r="N37" s="291"/>
      <c r="O37" s="200"/>
      <c r="P37" s="197"/>
      <c r="Q37" s="6"/>
      <c r="R37" s="143"/>
      <c r="S37" s="296"/>
      <c r="T37" s="116"/>
      <c r="U37" s="285"/>
      <c r="V37" s="116"/>
      <c r="W37" s="289"/>
      <c r="X37" s="7"/>
      <c r="Y37" s="285"/>
      <c r="Z37" s="116"/>
      <c r="AA37" s="290"/>
      <c r="AB37" s="9"/>
      <c r="AC37" s="280"/>
      <c r="AD37" s="8"/>
      <c r="AE37" s="283"/>
      <c r="AF37" s="9"/>
      <c r="AG37" s="280"/>
      <c r="AH37" s="8"/>
      <c r="AI37" s="284"/>
      <c r="AJ37" s="11"/>
      <c r="AK37" s="5">
        <v>5692.5806201293099</v>
      </c>
      <c r="AL37" s="123">
        <v>629.27205673104197</v>
      </c>
    </row>
    <row r="38" spans="1:38" x14ac:dyDescent="0.25">
      <c r="A38" s="163"/>
      <c r="B38" s="163"/>
      <c r="C38" s="194" t="s">
        <v>22</v>
      </c>
      <c r="D38" s="98">
        <v>8057.4938303444897</v>
      </c>
      <c r="E38" s="99">
        <v>20.454549613751801</v>
      </c>
      <c r="F38" s="151">
        <f t="shared" ref="F38" si="7">AVERAGE(E38:E42)</f>
        <v>19.382017597918058</v>
      </c>
      <c r="G38" s="105">
        <v>777.37842988967896</v>
      </c>
      <c r="H38" s="111">
        <f t="shared" si="0"/>
        <v>0.96572396430262242</v>
      </c>
      <c r="I38" s="203">
        <f>AVERAGE(D38:D42)</f>
        <v>8286.3501641377552</v>
      </c>
      <c r="J38" s="293">
        <f>AVERAGE(H38:H42)</f>
        <v>0.98169117386324367</v>
      </c>
      <c r="K38" s="186">
        <f>MAX(D38:D42)</f>
        <v>8548.7686418190497</v>
      </c>
      <c r="L38" s="230">
        <f>MIN(D38:D42)</f>
        <v>8057.4938303444897</v>
      </c>
      <c r="M38" s="210">
        <v>7781.44</v>
      </c>
      <c r="N38" s="246">
        <v>0.49190699999999998</v>
      </c>
      <c r="O38" s="198">
        <v>3601.61</v>
      </c>
      <c r="P38" s="196"/>
      <c r="R38" s="141">
        <v>6974.2096550259403</v>
      </c>
      <c r="S38" s="296">
        <f>(R38-AL38)/(AK38-AL38)</f>
        <v>0.89014368581821357</v>
      </c>
      <c r="T38" s="117">
        <v>7930.7673713202203</v>
      </c>
      <c r="U38" s="285">
        <f>(T38-AL38)/(AK38-AL38)</f>
        <v>0.95688231288499626</v>
      </c>
      <c r="V38" s="114">
        <v>3963.0670615939898</v>
      </c>
      <c r="W38" s="289">
        <f>(V38-AL38)/(AK38-AL38)</f>
        <v>0.68005754133915375</v>
      </c>
      <c r="X38" s="115">
        <v>1820.01558093364</v>
      </c>
      <c r="Y38" s="285">
        <f>(X38-AL38)/(AK38-AL38)</f>
        <v>0.53053774643667151</v>
      </c>
      <c r="Z38" s="114">
        <v>-5784.1260899993204</v>
      </c>
      <c r="AA38" s="288">
        <f>(Z38-AL38)/(AK38-AL38)</f>
        <v>0</v>
      </c>
      <c r="AB38" s="119">
        <v>7648.5416531134997</v>
      </c>
      <c r="AC38" s="280">
        <f>(AB38-AL38)/(AK38-AL38)</f>
        <v>0.93719154395887039</v>
      </c>
      <c r="AD38" s="128">
        <v>7397.6032527863899</v>
      </c>
      <c r="AE38" s="283">
        <f>(AD38-AL38)/(AK38-AL38)</f>
        <v>0.91968367796094075</v>
      </c>
      <c r="AF38" s="120">
        <v>7439.4897598559201</v>
      </c>
      <c r="AG38" s="280">
        <f>(AF38-AL38)/(AK38-AL38)</f>
        <v>0.92260608183351944</v>
      </c>
      <c r="AH38" s="128">
        <v>3974.4162104197299</v>
      </c>
      <c r="AI38" s="282">
        <f>(AH38-AL38)/(AK38-AL38)</f>
        <v>0.68084936664995754</v>
      </c>
      <c r="AK38" s="2">
        <f>MAX(D38:D42,R38,T38,V38,X38,Z38,AB38,AD38,AF38,AH38)</f>
        <v>8548.7686418190497</v>
      </c>
      <c r="AL38" s="122">
        <f>MIN(D38:D42,R38,T38,V38,X38,Z38,AB38,AD38,AF38,AH38)</f>
        <v>-5784.1260899993204</v>
      </c>
    </row>
    <row r="39" spans="1:38" x14ac:dyDescent="0.25">
      <c r="A39" s="163"/>
      <c r="B39" s="163"/>
      <c r="C39" s="183"/>
      <c r="D39" s="100">
        <v>8356.4681119072502</v>
      </c>
      <c r="E39" s="101">
        <v>16.615838450193401</v>
      </c>
      <c r="F39" s="152"/>
      <c r="G39" s="106">
        <v>664.74205803871098</v>
      </c>
      <c r="H39" s="111">
        <f t="shared" si="0"/>
        <v>0.98658327340638996</v>
      </c>
      <c r="I39" s="203"/>
      <c r="J39" s="293"/>
      <c r="K39" s="186"/>
      <c r="L39" s="230"/>
      <c r="M39" s="210"/>
      <c r="N39" s="246"/>
      <c r="O39" s="198"/>
      <c r="P39" s="196"/>
      <c r="R39" s="141"/>
      <c r="S39" s="296"/>
      <c r="T39" s="114"/>
      <c r="U39" s="285"/>
      <c r="V39" s="114"/>
      <c r="W39" s="289"/>
      <c r="X39" s="115"/>
      <c r="Y39" s="285"/>
      <c r="Z39" s="114"/>
      <c r="AA39" s="289"/>
      <c r="AB39" s="120"/>
      <c r="AC39" s="280"/>
      <c r="AD39" s="128"/>
      <c r="AE39" s="283"/>
      <c r="AF39" s="120"/>
      <c r="AG39" s="280"/>
      <c r="AH39" s="128"/>
      <c r="AI39" s="283"/>
      <c r="AK39" s="2">
        <v>8548.7686418190497</v>
      </c>
      <c r="AL39" s="122">
        <v>-5784.1260899993204</v>
      </c>
    </row>
    <row r="40" spans="1:38" x14ac:dyDescent="0.25">
      <c r="A40" s="163"/>
      <c r="B40" s="163"/>
      <c r="C40" s="183"/>
      <c r="D40" s="100">
        <v>8273.6692617737699</v>
      </c>
      <c r="E40" s="101">
        <v>20.720821149887499</v>
      </c>
      <c r="F40" s="152"/>
      <c r="G40" s="106">
        <v>642.42810177803005</v>
      </c>
      <c r="H40" s="111">
        <f t="shared" si="0"/>
        <v>0.98080643267165191</v>
      </c>
      <c r="I40" s="203"/>
      <c r="J40" s="293"/>
      <c r="K40" s="186"/>
      <c r="L40" s="230"/>
      <c r="M40" s="210"/>
      <c r="N40" s="246"/>
      <c r="O40" s="198"/>
      <c r="P40" s="196"/>
      <c r="R40" s="141"/>
      <c r="S40" s="296"/>
      <c r="T40" s="114"/>
      <c r="U40" s="285"/>
      <c r="V40" s="114"/>
      <c r="W40" s="289"/>
      <c r="X40" s="115"/>
      <c r="Y40" s="285"/>
      <c r="Z40" s="114"/>
      <c r="AA40" s="289"/>
      <c r="AB40" s="120"/>
      <c r="AC40" s="280"/>
      <c r="AD40" s="128"/>
      <c r="AE40" s="283"/>
      <c r="AF40" s="120"/>
      <c r="AG40" s="280"/>
      <c r="AH40" s="128"/>
      <c r="AI40" s="283"/>
      <c r="AK40" s="2">
        <v>8548.7686418190497</v>
      </c>
      <c r="AL40" s="122">
        <v>-5784.1260899993204</v>
      </c>
    </row>
    <row r="41" spans="1:38" x14ac:dyDescent="0.25">
      <c r="A41" s="163"/>
      <c r="B41" s="163"/>
      <c r="C41" s="183"/>
      <c r="D41" s="100">
        <v>8195.3509748442193</v>
      </c>
      <c r="E41" s="101">
        <v>20.9654659135001</v>
      </c>
      <c r="F41" s="152"/>
      <c r="G41" s="106">
        <v>733.88856363296497</v>
      </c>
      <c r="H41" s="111">
        <f t="shared" si="0"/>
        <v>0.97534219893555352</v>
      </c>
      <c r="I41" s="203"/>
      <c r="J41" s="293"/>
      <c r="K41" s="186"/>
      <c r="L41" s="230"/>
      <c r="M41" s="210"/>
      <c r="N41" s="246"/>
      <c r="O41" s="198"/>
      <c r="P41" s="196"/>
      <c r="R41" s="141"/>
      <c r="S41" s="296"/>
      <c r="T41" s="114"/>
      <c r="U41" s="285"/>
      <c r="V41" s="114"/>
      <c r="W41" s="289"/>
      <c r="X41" s="115"/>
      <c r="Y41" s="285"/>
      <c r="Z41" s="114"/>
      <c r="AA41" s="289"/>
      <c r="AB41" s="120"/>
      <c r="AC41" s="280"/>
      <c r="AD41" s="128"/>
      <c r="AE41" s="283"/>
      <c r="AF41" s="120"/>
      <c r="AG41" s="280"/>
      <c r="AH41" s="128"/>
      <c r="AI41" s="283"/>
      <c r="AK41" s="2">
        <v>8548.7686418190497</v>
      </c>
      <c r="AL41" s="122">
        <v>-5784.1260899993204</v>
      </c>
    </row>
    <row r="42" spans="1:38" ht="14.5" thickBot="1" x14ac:dyDescent="0.3">
      <c r="A42" s="163"/>
      <c r="B42" s="163"/>
      <c r="C42" s="183"/>
      <c r="D42" s="100">
        <v>8548.7686418190497</v>
      </c>
      <c r="E42" s="101">
        <v>18.1534128622575</v>
      </c>
      <c r="F42" s="153"/>
      <c r="G42" s="106">
        <v>599.15457487106301</v>
      </c>
      <c r="H42" s="111">
        <f t="shared" si="0"/>
        <v>1</v>
      </c>
      <c r="I42" s="203"/>
      <c r="J42" s="293"/>
      <c r="K42" s="186"/>
      <c r="L42" s="230"/>
      <c r="M42" s="210"/>
      <c r="N42" s="246"/>
      <c r="O42" s="198"/>
      <c r="P42" s="196"/>
      <c r="R42" s="141"/>
      <c r="S42" s="296"/>
      <c r="T42" s="114"/>
      <c r="U42" s="285"/>
      <c r="V42" s="114"/>
      <c r="W42" s="289"/>
      <c r="X42" s="115"/>
      <c r="Y42" s="285"/>
      <c r="Z42" s="114"/>
      <c r="AA42" s="290"/>
      <c r="AB42" s="120"/>
      <c r="AC42" s="280"/>
      <c r="AD42" s="128"/>
      <c r="AE42" s="283"/>
      <c r="AF42" s="120"/>
      <c r="AG42" s="280"/>
      <c r="AH42" s="128"/>
      <c r="AI42" s="284"/>
      <c r="AK42" s="2">
        <v>8548.7686418190497</v>
      </c>
      <c r="AL42" s="122">
        <v>-5784.1260899993204</v>
      </c>
    </row>
    <row r="43" spans="1:38" x14ac:dyDescent="0.25">
      <c r="A43" s="163"/>
      <c r="B43" s="163"/>
      <c r="C43" s="194" t="s">
        <v>23</v>
      </c>
      <c r="D43" s="149">
        <v>5610.8822045828001</v>
      </c>
      <c r="E43" s="99">
        <v>22.768139224303301</v>
      </c>
      <c r="F43" s="151">
        <f t="shared" ref="F43" si="8">AVERAGE(E43:E47)</f>
        <v>21.625874779913321</v>
      </c>
      <c r="G43" s="105">
        <v>844.20105075836102</v>
      </c>
      <c r="H43" s="145">
        <f t="shared" si="0"/>
        <v>1</v>
      </c>
      <c r="I43" s="202">
        <f>AVERAGE(D43:D47)</f>
        <v>5071.7614765502603</v>
      </c>
      <c r="J43" s="292">
        <f>AVERAGE(H43:H47)</f>
        <v>0.92627222201007842</v>
      </c>
      <c r="K43" s="185">
        <f>MAX(D43:D47)</f>
        <v>5610.8822045828001</v>
      </c>
      <c r="L43" s="229">
        <f>MIN(D43:D47)</f>
        <v>4726.6164144561799</v>
      </c>
      <c r="M43" s="211">
        <v>6111.66</v>
      </c>
      <c r="N43" s="250">
        <v>0.26335700000000001</v>
      </c>
      <c r="O43" s="199">
        <v>3601.76</v>
      </c>
      <c r="P43" s="195"/>
      <c r="Q43" s="4"/>
      <c r="R43" s="142">
        <v>3404.2628442893101</v>
      </c>
      <c r="S43" s="295">
        <f>(R43-AL43)/(AK43-AL43)</f>
        <v>0.6982324480498151</v>
      </c>
      <c r="T43" s="118">
        <v>4515.2486470268695</v>
      </c>
      <c r="U43" s="286">
        <f>(T43-AL43)/(AK43-AL43)</f>
        <v>0.85016597676630989</v>
      </c>
      <c r="V43" s="113">
        <v>4771.6991723600304</v>
      </c>
      <c r="W43" s="288">
        <f>(V43-AL43)/(AK43-AL43)</f>
        <v>0.88523702192193365</v>
      </c>
      <c r="X43" s="13">
        <v>1691.4695868516101</v>
      </c>
      <c r="Y43" s="286">
        <f>(X43-AL43)/(AK43-AL43)</f>
        <v>0.46399838050088732</v>
      </c>
      <c r="Z43" s="118">
        <v>1969.3513541120799</v>
      </c>
      <c r="AA43" s="288">
        <f>(Z43-AL43)/(AK43-AL43)</f>
        <v>0.50200026797940089</v>
      </c>
      <c r="AB43" s="138">
        <v>5044.9210962331699</v>
      </c>
      <c r="AC43" s="279">
        <f>(AB43-AL43)/(AK43-AL43)</f>
        <v>0.92260164972767855</v>
      </c>
      <c r="AD43" s="127">
        <v>4727.7316658529398</v>
      </c>
      <c r="AE43" s="282">
        <f>(AD43-AL43)/(AK43-AL43)</f>
        <v>0.87922421924162297</v>
      </c>
      <c r="AF43" s="15">
        <v>1832.3189351777701</v>
      </c>
      <c r="AG43" s="279">
        <f>(AF43-AL43)/(AK43-AL43)</f>
        <v>0.48326031747243231</v>
      </c>
      <c r="AH43" s="127">
        <v>-1701.4326749764</v>
      </c>
      <c r="AI43" s="282">
        <f>(AH43-AL43)/(AK43-AL43)</f>
        <v>0</v>
      </c>
      <c r="AJ43" s="10"/>
      <c r="AK43" s="12">
        <f>MAX(D43:D47,R43,T43,V43,X43,Z43,AB43,AD43,AF43,AH43)</f>
        <v>5610.8822045828001</v>
      </c>
      <c r="AL43" s="121">
        <f>MIN(D43:D47,R43,T43,V43,X43,Z43,AB43,AD43,AF43,AH43)</f>
        <v>-1701.4326749764</v>
      </c>
    </row>
    <row r="44" spans="1:38" x14ac:dyDescent="0.25">
      <c r="A44" s="163"/>
      <c r="B44" s="163"/>
      <c r="C44" s="183"/>
      <c r="D44" s="102">
        <v>4726.6164144561799</v>
      </c>
      <c r="E44" s="148">
        <v>20.7413376002084</v>
      </c>
      <c r="F44" s="152"/>
      <c r="G44" s="107">
        <v>871.25266528129498</v>
      </c>
      <c r="H44" s="146">
        <f t="shared" si="0"/>
        <v>0.87907170236904153</v>
      </c>
      <c r="I44" s="203"/>
      <c r="J44" s="293"/>
      <c r="K44" s="186"/>
      <c r="L44" s="230"/>
      <c r="M44" s="210"/>
      <c r="N44" s="246"/>
      <c r="O44" s="198"/>
      <c r="P44" s="196"/>
      <c r="R44" s="141"/>
      <c r="S44" s="296"/>
      <c r="T44" s="114"/>
      <c r="U44" s="285"/>
      <c r="V44" s="114"/>
      <c r="W44" s="289"/>
      <c r="X44" s="115"/>
      <c r="Y44" s="285"/>
      <c r="Z44" s="114"/>
      <c r="AA44" s="289"/>
      <c r="AB44" s="120"/>
      <c r="AC44" s="280"/>
      <c r="AD44" s="128"/>
      <c r="AE44" s="283"/>
      <c r="AF44" s="120"/>
      <c r="AG44" s="280"/>
      <c r="AH44" s="128"/>
      <c r="AI44" s="283"/>
      <c r="AK44" s="2">
        <v>5610.8822045828001</v>
      </c>
      <c r="AL44" s="122">
        <v>-1701.4326749764</v>
      </c>
    </row>
    <row r="45" spans="1:38" x14ac:dyDescent="0.25">
      <c r="A45" s="163"/>
      <c r="B45" s="163"/>
      <c r="C45" s="183"/>
      <c r="D45" s="100">
        <v>4796.3681887025896</v>
      </c>
      <c r="E45" s="101">
        <v>20.742523359697898</v>
      </c>
      <c r="F45" s="152"/>
      <c r="G45" s="106">
        <v>892.04499936103798</v>
      </c>
      <c r="H45" s="146">
        <f t="shared" si="0"/>
        <v>0.88861064802377443</v>
      </c>
      <c r="I45" s="203"/>
      <c r="J45" s="293"/>
      <c r="K45" s="186"/>
      <c r="L45" s="230"/>
      <c r="M45" s="210"/>
      <c r="N45" s="246"/>
      <c r="O45" s="198"/>
      <c r="P45" s="196"/>
      <c r="R45" s="141"/>
      <c r="S45" s="296"/>
      <c r="T45" s="114"/>
      <c r="U45" s="285"/>
      <c r="V45" s="114"/>
      <c r="W45" s="289"/>
      <c r="X45" s="115"/>
      <c r="Y45" s="285"/>
      <c r="Z45" s="114"/>
      <c r="AA45" s="289"/>
      <c r="AB45" s="120"/>
      <c r="AC45" s="280"/>
      <c r="AD45" s="128"/>
      <c r="AE45" s="283"/>
      <c r="AF45" s="120"/>
      <c r="AG45" s="280"/>
      <c r="AH45" s="128"/>
      <c r="AI45" s="283"/>
      <c r="AK45" s="2">
        <v>5610.8822045828001</v>
      </c>
      <c r="AL45" s="122">
        <v>-1701.4326749764</v>
      </c>
    </row>
    <row r="46" spans="1:38" x14ac:dyDescent="0.25">
      <c r="A46" s="163"/>
      <c r="B46" s="163"/>
      <c r="C46" s="183"/>
      <c r="D46" s="100">
        <v>5046.41236313226</v>
      </c>
      <c r="E46" s="101">
        <v>21.420904074075001</v>
      </c>
      <c r="F46" s="152"/>
      <c r="G46" s="106">
        <v>1135.44630885124</v>
      </c>
      <c r="H46" s="146">
        <f t="shared" si="0"/>
        <v>0.92280558882544084</v>
      </c>
      <c r="I46" s="203"/>
      <c r="J46" s="293"/>
      <c r="K46" s="186"/>
      <c r="L46" s="230"/>
      <c r="M46" s="210"/>
      <c r="N46" s="246"/>
      <c r="O46" s="198"/>
      <c r="P46" s="196"/>
      <c r="R46" s="141"/>
      <c r="S46" s="296"/>
      <c r="T46" s="114"/>
      <c r="U46" s="285"/>
      <c r="V46" s="114"/>
      <c r="W46" s="289"/>
      <c r="X46" s="115"/>
      <c r="Y46" s="285"/>
      <c r="Z46" s="114"/>
      <c r="AA46" s="289"/>
      <c r="AB46" s="120"/>
      <c r="AC46" s="280"/>
      <c r="AD46" s="128"/>
      <c r="AE46" s="283"/>
      <c r="AF46" s="120"/>
      <c r="AG46" s="280"/>
      <c r="AH46" s="128"/>
      <c r="AI46" s="283"/>
      <c r="AK46" s="2">
        <v>5610.8822045828001</v>
      </c>
      <c r="AL46" s="122">
        <v>-1701.4326749764</v>
      </c>
    </row>
    <row r="47" spans="1:38" ht="14.5" thickBot="1" x14ac:dyDescent="0.3">
      <c r="A47" s="164"/>
      <c r="B47" s="164"/>
      <c r="C47" s="184"/>
      <c r="D47" s="103">
        <v>5178.5282118774703</v>
      </c>
      <c r="E47" s="104">
        <v>22.456469641281998</v>
      </c>
      <c r="F47" s="153"/>
      <c r="G47" s="108">
        <v>1167.87082767486</v>
      </c>
      <c r="H47" s="147">
        <f t="shared" si="0"/>
        <v>0.94087317083213562</v>
      </c>
      <c r="I47" s="204"/>
      <c r="J47" s="294"/>
      <c r="K47" s="187"/>
      <c r="L47" s="231"/>
      <c r="M47" s="209"/>
      <c r="N47" s="291"/>
      <c r="O47" s="200"/>
      <c r="P47" s="197"/>
      <c r="Q47" s="6"/>
      <c r="R47" s="143"/>
      <c r="S47" s="297"/>
      <c r="T47" s="116"/>
      <c r="U47" s="287"/>
      <c r="V47" s="116"/>
      <c r="W47" s="290"/>
      <c r="X47" s="7"/>
      <c r="Y47" s="287"/>
      <c r="Z47" s="116"/>
      <c r="AA47" s="290"/>
      <c r="AB47" s="9"/>
      <c r="AC47" s="281"/>
      <c r="AD47" s="8"/>
      <c r="AE47" s="284"/>
      <c r="AF47" s="9"/>
      <c r="AG47" s="281"/>
      <c r="AH47" s="8"/>
      <c r="AI47" s="284"/>
      <c r="AJ47" s="11"/>
      <c r="AK47" s="5">
        <v>5610.8822045828001</v>
      </c>
      <c r="AL47" s="123">
        <v>-1701.4326749764</v>
      </c>
    </row>
    <row r="48" spans="1:38" x14ac:dyDescent="0.25">
      <c r="D48" s="1"/>
      <c r="E48" s="1"/>
      <c r="F48" s="1"/>
      <c r="G48" s="1"/>
      <c r="H48" s="1"/>
      <c r="T48" s="1"/>
      <c r="U48" s="1"/>
      <c r="X48" s="1"/>
      <c r="Y48" s="1"/>
    </row>
    <row r="49" spans="4:35" x14ac:dyDescent="0.25">
      <c r="D49" s="1"/>
      <c r="E49" s="1">
        <f>AVERAGE(E3:E47)</f>
        <v>21.357596232365808</v>
      </c>
      <c r="F49" s="1"/>
      <c r="G49" s="1">
        <f>AVERAGE(G3:G47)</f>
        <v>965.50313862164569</v>
      </c>
      <c r="H49" s="1"/>
      <c r="I49" s="1">
        <f>AVERAGE(I3:I47)</f>
        <v>5593.949534185911</v>
      </c>
      <c r="J49" s="32">
        <f>AVERAGE(J3:J47)</f>
        <v>0.96356806056872779</v>
      </c>
      <c r="R49" s="1">
        <f t="shared" ref="R49:AI49" si="9">AVERAGE(R3:R47)</f>
        <v>4161.8701647068701</v>
      </c>
      <c r="S49" s="150">
        <f t="shared" si="9"/>
        <v>0.76626018652803829</v>
      </c>
      <c r="T49" s="1">
        <f t="shared" si="9"/>
        <v>5044.1397351019004</v>
      </c>
      <c r="U49" s="1">
        <f t="shared" si="9"/>
        <v>0.88887973782560348</v>
      </c>
      <c r="V49" s="1">
        <f t="shared" si="9"/>
        <v>4256.0277490412172</v>
      </c>
      <c r="W49" s="1">
        <f t="shared" si="9"/>
        <v>0.79384512933336737</v>
      </c>
      <c r="X49" s="1">
        <f t="shared" si="9"/>
        <v>3003.366630674132</v>
      </c>
      <c r="Y49" s="1">
        <f t="shared" si="9"/>
        <v>0.6125604983490448</v>
      </c>
      <c r="Z49" s="1">
        <f t="shared" si="9"/>
        <v>1125.7420150807575</v>
      </c>
      <c r="AA49" s="1">
        <f t="shared" si="9"/>
        <v>0.39150342319735931</v>
      </c>
      <c r="AB49" s="1">
        <f t="shared" si="9"/>
        <v>5096.8638204253839</v>
      </c>
      <c r="AC49" s="1">
        <f t="shared" si="9"/>
        <v>0.90434287889111353</v>
      </c>
      <c r="AD49" s="1">
        <f t="shared" si="9"/>
        <v>4669.933458660722</v>
      </c>
      <c r="AE49" s="1">
        <f t="shared" si="9"/>
        <v>0.82941687069394943</v>
      </c>
      <c r="AF49" s="1">
        <f t="shared" si="9"/>
        <v>2633.9538049158696</v>
      </c>
      <c r="AG49" s="1">
        <f t="shared" si="9"/>
        <v>0.56378032664866529</v>
      </c>
      <c r="AH49" s="1">
        <f t="shared" si="9"/>
        <v>-1195.4060957752588</v>
      </c>
      <c r="AI49" s="1">
        <f t="shared" si="9"/>
        <v>0.10252765714553057</v>
      </c>
    </row>
  </sheetData>
  <sortState xmlns:xlrd2="http://schemas.microsoft.com/office/spreadsheetml/2017/richdata2" ref="A3:C47">
    <sortCondition descending="1" ref="B2:B47"/>
  </sortState>
  <mergeCells count="197">
    <mergeCell ref="AK1:AK2"/>
    <mergeCell ref="AL1:AL2"/>
    <mergeCell ref="P3:P7"/>
    <mergeCell ref="P8:P12"/>
    <mergeCell ref="P13:P17"/>
    <mergeCell ref="P18:P22"/>
    <mergeCell ref="P23:P27"/>
    <mergeCell ref="P28:P32"/>
    <mergeCell ref="P33:P37"/>
    <mergeCell ref="R1:S2"/>
    <mergeCell ref="T1:AA1"/>
    <mergeCell ref="AB1:AI1"/>
    <mergeCell ref="T2:U2"/>
    <mergeCell ref="V2:W2"/>
    <mergeCell ref="X2:Y2"/>
    <mergeCell ref="Z2:AA2"/>
    <mergeCell ref="AB2:AC2"/>
    <mergeCell ref="AD2:AE2"/>
    <mergeCell ref="AF2:AG2"/>
    <mergeCell ref="AH2:AI2"/>
    <mergeCell ref="Y28:Y32"/>
    <mergeCell ref="Y33:Y37"/>
    <mergeCell ref="AC28:AC32"/>
    <mergeCell ref="AC33:AC37"/>
    <mergeCell ref="P43:P47"/>
    <mergeCell ref="M38:M42"/>
    <mergeCell ref="N38:N42"/>
    <mergeCell ref="O38:O42"/>
    <mergeCell ref="M43:M47"/>
    <mergeCell ref="N43:N47"/>
    <mergeCell ref="O43:O47"/>
    <mergeCell ref="O13:O17"/>
    <mergeCell ref="M18:M22"/>
    <mergeCell ref="N18:N22"/>
    <mergeCell ref="O18:O22"/>
    <mergeCell ref="M23:M27"/>
    <mergeCell ref="N23:N27"/>
    <mergeCell ref="O23:O27"/>
    <mergeCell ref="M28:M32"/>
    <mergeCell ref="N28:N32"/>
    <mergeCell ref="O28:O32"/>
    <mergeCell ref="A1:A2"/>
    <mergeCell ref="B1:B2"/>
    <mergeCell ref="N1:N2"/>
    <mergeCell ref="O1:O2"/>
    <mergeCell ref="M1:M2"/>
    <mergeCell ref="C1:C2"/>
    <mergeCell ref="P1:P2"/>
    <mergeCell ref="I43:I47"/>
    <mergeCell ref="K3:K7"/>
    <mergeCell ref="K8:K12"/>
    <mergeCell ref="K13:K17"/>
    <mergeCell ref="K18:K22"/>
    <mergeCell ref="K23:K27"/>
    <mergeCell ref="K28:K32"/>
    <mergeCell ref="K33:K37"/>
    <mergeCell ref="K38:K42"/>
    <mergeCell ref="K43:K47"/>
    <mergeCell ref="J3:J7"/>
    <mergeCell ref="J8:J12"/>
    <mergeCell ref="J13:J17"/>
    <mergeCell ref="I3:I7"/>
    <mergeCell ref="I8:I12"/>
    <mergeCell ref="I13:I17"/>
    <mergeCell ref="I18:I22"/>
    <mergeCell ref="I23:I27"/>
    <mergeCell ref="L3:L7"/>
    <mergeCell ref="L8:L12"/>
    <mergeCell ref="L13:L17"/>
    <mergeCell ref="L18:L22"/>
    <mergeCell ref="L23:L27"/>
    <mergeCell ref="I28:I32"/>
    <mergeCell ref="I33:I37"/>
    <mergeCell ref="I38:I42"/>
    <mergeCell ref="D1:L1"/>
    <mergeCell ref="F3:F7"/>
    <mergeCell ref="F8:F12"/>
    <mergeCell ref="F13:F17"/>
    <mergeCell ref="F18:F22"/>
    <mergeCell ref="F23:F27"/>
    <mergeCell ref="F28:F32"/>
    <mergeCell ref="F33:F37"/>
    <mergeCell ref="F38:F42"/>
    <mergeCell ref="M3:M7"/>
    <mergeCell ref="M8:M12"/>
    <mergeCell ref="M13:M17"/>
    <mergeCell ref="M33:M37"/>
    <mergeCell ref="J43:J47"/>
    <mergeCell ref="S3:S7"/>
    <mergeCell ref="S8:S12"/>
    <mergeCell ref="S13:S17"/>
    <mergeCell ref="S18:S22"/>
    <mergeCell ref="S23:S27"/>
    <mergeCell ref="S28:S32"/>
    <mergeCell ref="S33:S37"/>
    <mergeCell ref="S38:S42"/>
    <mergeCell ref="S43:S47"/>
    <mergeCell ref="J18:J22"/>
    <mergeCell ref="J23:J27"/>
    <mergeCell ref="J28:J32"/>
    <mergeCell ref="J33:J37"/>
    <mergeCell ref="J38:J42"/>
    <mergeCell ref="L28:L32"/>
    <mergeCell ref="L33:L37"/>
    <mergeCell ref="L38:L42"/>
    <mergeCell ref="L43:L47"/>
    <mergeCell ref="N3:N7"/>
    <mergeCell ref="N8:N12"/>
    <mergeCell ref="O8:O12"/>
    <mergeCell ref="N13:N17"/>
    <mergeCell ref="U28:U32"/>
    <mergeCell ref="U33:U37"/>
    <mergeCell ref="U38:U42"/>
    <mergeCell ref="U43:U47"/>
    <mergeCell ref="W3:W7"/>
    <mergeCell ref="W8:W12"/>
    <mergeCell ref="W13:W17"/>
    <mergeCell ref="W18:W22"/>
    <mergeCell ref="W23:W27"/>
    <mergeCell ref="W28:W32"/>
    <mergeCell ref="W33:W37"/>
    <mergeCell ref="W38:W42"/>
    <mergeCell ref="W43:W47"/>
    <mergeCell ref="U3:U7"/>
    <mergeCell ref="U8:U12"/>
    <mergeCell ref="U13:U17"/>
    <mergeCell ref="U18:U22"/>
    <mergeCell ref="U23:U27"/>
    <mergeCell ref="N33:N37"/>
    <mergeCell ref="O33:O37"/>
    <mergeCell ref="P38:P42"/>
    <mergeCell ref="Y38:Y42"/>
    <mergeCell ref="Y43:Y47"/>
    <mergeCell ref="AA3:AA7"/>
    <mergeCell ref="AA8:AA12"/>
    <mergeCell ref="AA13:AA17"/>
    <mergeCell ref="AA18:AA22"/>
    <mergeCell ref="AA23:AA27"/>
    <mergeCell ref="AA28:AA32"/>
    <mergeCell ref="AA33:AA37"/>
    <mergeCell ref="AA38:AA42"/>
    <mergeCell ref="AA43:AA47"/>
    <mergeCell ref="Y3:Y7"/>
    <mergeCell ref="Y8:Y12"/>
    <mergeCell ref="Y13:Y17"/>
    <mergeCell ref="Y18:Y22"/>
    <mergeCell ref="Y23:Y27"/>
    <mergeCell ref="AE18:AE22"/>
    <mergeCell ref="AE23:AE27"/>
    <mergeCell ref="AE28:AE32"/>
    <mergeCell ref="AE33:AE37"/>
    <mergeCell ref="AE38:AE42"/>
    <mergeCell ref="AE43:AE47"/>
    <mergeCell ref="AC3:AC7"/>
    <mergeCell ref="AC8:AC12"/>
    <mergeCell ref="AC13:AC17"/>
    <mergeCell ref="AC18:AC22"/>
    <mergeCell ref="AC23:AC27"/>
    <mergeCell ref="O3:O7"/>
    <mergeCell ref="AG28:AG32"/>
    <mergeCell ref="AG33:AG37"/>
    <mergeCell ref="AG38:AG42"/>
    <mergeCell ref="AG43:AG47"/>
    <mergeCell ref="AI3:AI7"/>
    <mergeCell ref="AI8:AI12"/>
    <mergeCell ref="AI13:AI17"/>
    <mergeCell ref="AI18:AI22"/>
    <mergeCell ref="AI23:AI27"/>
    <mergeCell ref="AI28:AI32"/>
    <mergeCell ref="AI33:AI37"/>
    <mergeCell ref="AI38:AI42"/>
    <mergeCell ref="AI43:AI47"/>
    <mergeCell ref="AG3:AG7"/>
    <mergeCell ref="AG8:AG12"/>
    <mergeCell ref="AG13:AG17"/>
    <mergeCell ref="AG18:AG22"/>
    <mergeCell ref="AG23:AG27"/>
    <mergeCell ref="AC38:AC42"/>
    <mergeCell ref="AC43:AC47"/>
    <mergeCell ref="AE3:AE7"/>
    <mergeCell ref="AE8:AE12"/>
    <mergeCell ref="AE13:AE17"/>
    <mergeCell ref="F43:F47"/>
    <mergeCell ref="R3:R7"/>
    <mergeCell ref="A3:A47"/>
    <mergeCell ref="B3:B17"/>
    <mergeCell ref="B18:B32"/>
    <mergeCell ref="B33:B47"/>
    <mergeCell ref="C3:C7"/>
    <mergeCell ref="C8:C12"/>
    <mergeCell ref="C13:C17"/>
    <mergeCell ref="C18:C22"/>
    <mergeCell ref="C23:C27"/>
    <mergeCell ref="C28:C32"/>
    <mergeCell ref="C33:C37"/>
    <mergeCell ref="C38:C42"/>
    <mergeCell ref="C43:C47"/>
  </mergeCells>
  <phoneticPr fontId="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"/>
  <sheetViews>
    <sheetView workbookViewId="0">
      <selection activeCell="C3" sqref="C3"/>
    </sheetView>
  </sheetViews>
  <sheetFormatPr defaultColWidth="9" defaultRowHeight="14" x14ac:dyDescent="0.25"/>
  <cols>
    <col min="1" max="1" width="9" style="1"/>
    <col min="2" max="2" width="12.81640625" style="1"/>
    <col min="3" max="3" width="9" style="1"/>
    <col min="4" max="4" width="12.81640625" style="1"/>
    <col min="5" max="5" width="9" style="1"/>
    <col min="6" max="6" width="12.81640625" style="1"/>
    <col min="7" max="7" width="9" style="1"/>
    <col min="8" max="8" width="11.81640625" style="1"/>
    <col min="9" max="9" width="9" style="1"/>
    <col min="10" max="10" width="12.81640625" style="1"/>
    <col min="11" max="11" width="9" style="1"/>
    <col min="12" max="12" width="12.81640625" style="1"/>
    <col min="13" max="13" width="9" style="1"/>
    <col min="14" max="14" width="12.81640625" style="1"/>
    <col min="15" max="15" width="9" style="1"/>
    <col min="16" max="16" width="11.81640625" style="1"/>
    <col min="17" max="17" width="9" style="1"/>
    <col min="18" max="18" width="12.81640625" style="1"/>
    <col min="19" max="19" width="9" style="1"/>
    <col min="20" max="20" width="14" style="1"/>
    <col min="21" max="16384" width="9" style="1"/>
  </cols>
  <sheetData>
    <row r="1" spans="1:23" ht="14.5" thickBot="1" x14ac:dyDescent="0.3">
      <c r="B1" s="304" t="s">
        <v>28</v>
      </c>
      <c r="C1" s="305"/>
      <c r="D1" s="308" t="s">
        <v>4</v>
      </c>
      <c r="E1" s="305"/>
      <c r="F1" s="313" t="s">
        <v>27</v>
      </c>
      <c r="G1" s="312"/>
      <c r="H1" s="312"/>
      <c r="I1" s="312"/>
      <c r="J1" s="312"/>
      <c r="K1" s="312"/>
      <c r="L1" s="312"/>
      <c r="M1" s="305"/>
      <c r="N1" s="308" t="s">
        <v>5</v>
      </c>
      <c r="O1" s="312"/>
      <c r="P1" s="312"/>
      <c r="Q1" s="312"/>
      <c r="R1" s="312"/>
      <c r="S1" s="312"/>
      <c r="T1" s="312"/>
      <c r="U1" s="305"/>
      <c r="W1" s="3" t="s">
        <v>20</v>
      </c>
    </row>
    <row r="2" spans="1:23" x14ac:dyDescent="0.25">
      <c r="B2" s="306"/>
      <c r="C2" s="307"/>
      <c r="D2" s="306"/>
      <c r="E2" s="307"/>
      <c r="F2" s="309">
        <v>3</v>
      </c>
      <c r="G2" s="310"/>
      <c r="H2" s="309">
        <v>6</v>
      </c>
      <c r="I2" s="310"/>
      <c r="J2" s="309">
        <v>9</v>
      </c>
      <c r="K2" s="310"/>
      <c r="L2" s="309">
        <v>12</v>
      </c>
      <c r="M2" s="310"/>
      <c r="N2" s="314">
        <v>0.2</v>
      </c>
      <c r="O2" s="282"/>
      <c r="P2" s="314">
        <v>0.4</v>
      </c>
      <c r="Q2" s="282"/>
      <c r="R2" s="314">
        <v>0.6</v>
      </c>
      <c r="S2" s="282"/>
      <c r="T2" s="311">
        <v>0.8</v>
      </c>
      <c r="U2" s="282"/>
    </row>
    <row r="3" spans="1:23" ht="14.5" thickBot="1" x14ac:dyDescent="0.3">
      <c r="A3" s="3" t="s">
        <v>6</v>
      </c>
      <c r="B3" s="5">
        <f>AVERAGE('T=36'!I49,'T=72'!I49,'T=144'!I49)</f>
        <v>3132.7064391279696</v>
      </c>
      <c r="C3" s="139">
        <f>AVERAGE('T=36'!J49,'T=72'!J49,'T=144'!J49)</f>
        <v>0.92560535725414539</v>
      </c>
      <c r="D3" s="5">
        <f>AVERAGE('T=36'!R49,'T=72'!R49,'T=144'!R49)</f>
        <v>1978.6487052936311</v>
      </c>
      <c r="E3" s="139">
        <f>AVERAGE('T=36'!S49,'T=72'!S49,'T=144'!S49)</f>
        <v>0.55444512616018204</v>
      </c>
      <c r="F3" s="5">
        <f>AVERAGE('T=36'!T49,'T=72'!T49,'T=144'!T49)</f>
        <v>2521.667403650205</v>
      </c>
      <c r="G3" s="139">
        <f>AVERAGE('T=36'!U49,'T=72'!U49,'T=144'!U49)</f>
        <v>0.6993999190907968</v>
      </c>
      <c r="H3" s="5">
        <f>AVERAGE('T=36'!V49,'T=72'!V49,'T=144'!V49)</f>
        <v>2378.7034335810627</v>
      </c>
      <c r="I3" s="139">
        <f>AVERAGE('T=36'!W49,'T=72'!W49,'T=144'!W49)</f>
        <v>0.72762319242655782</v>
      </c>
      <c r="J3" s="5">
        <f>AVERAGE('T=36'!X49,'T=72'!X49,'T=144'!X49)</f>
        <v>1761.9455396464564</v>
      </c>
      <c r="K3" s="139">
        <f>AVERAGE('T=36'!Y49,'T=72'!Y49,'T=144'!Y49)</f>
        <v>0.56735417247128683</v>
      </c>
      <c r="L3" s="5">
        <f>AVERAGE('T=36'!Z49,'T=72'!Z49,'T=144'!Z49)</f>
        <v>1083.0048733375017</v>
      </c>
      <c r="M3" s="139">
        <f>AVERAGE('T=36'!AA49,'T=72'!AA49,'T=144'!AA49)</f>
        <v>0.46697481562923221</v>
      </c>
      <c r="N3" s="5">
        <f>AVERAGE('T=36'!AB49,'T=72'!AB49,'T=144'!AB49)</f>
        <v>2753.8058202125744</v>
      </c>
      <c r="O3" s="139">
        <f>AVERAGE('T=36'!AC49,'T=72'!AC49,'T=144'!AC49)</f>
        <v>0.80311457106511586</v>
      </c>
      <c r="P3" s="5">
        <f>AVERAGE('T=36'!AD49,'T=72'!AD49,'T=144'!AD49)</f>
        <v>2586.025745445445</v>
      </c>
      <c r="Q3" s="139">
        <f>AVERAGE('T=36'!AE49,'T=72'!AE49,'T=144'!AE49)</f>
        <v>0.77323121165279429</v>
      </c>
      <c r="R3" s="5">
        <f>AVERAGE('T=36'!AF49,'T=72'!AF49,'T=144'!AF49)</f>
        <v>1402.0747922282853</v>
      </c>
      <c r="S3" s="139">
        <f>AVERAGE('T=36'!AG49,'T=72'!AG49,'T=144'!AG49)</f>
        <v>0.5194440398981689</v>
      </c>
      <c r="T3" s="5">
        <f>AVERAGE('T=36'!AH49,'T=72'!AH49,'T=144'!AH49)</f>
        <v>-677.86652385624211</v>
      </c>
      <c r="U3" s="139">
        <f>AVERAGE('T=36'!AI49,'T=72'!AI49,'T=144'!AI49)</f>
        <v>0.10714813320644684</v>
      </c>
      <c r="W3" s="1">
        <f>AVERAGE('T=36'!P3:P47,'T=72'!P3:P47)</f>
        <v>1.2718310618943469</v>
      </c>
    </row>
  </sheetData>
  <mergeCells count="12">
    <mergeCell ref="T2:U2"/>
    <mergeCell ref="N1:U1"/>
    <mergeCell ref="L2:M2"/>
    <mergeCell ref="F1:M1"/>
    <mergeCell ref="N2:O2"/>
    <mergeCell ref="P2:Q2"/>
    <mergeCell ref="R2:S2"/>
    <mergeCell ref="B1:C2"/>
    <mergeCell ref="D1:E2"/>
    <mergeCell ref="F2:G2"/>
    <mergeCell ref="H2:I2"/>
    <mergeCell ref="J2:K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T=36</vt:lpstr>
      <vt:lpstr>T=72</vt:lpstr>
      <vt:lpstr>T=144</vt:lpstr>
      <vt:lpstr>sum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</dc:creator>
  <cp:lastModifiedBy>wuhao99@njust.edu.cn</cp:lastModifiedBy>
  <dcterms:created xsi:type="dcterms:W3CDTF">2023-05-12T11:15:00Z</dcterms:created>
  <dcterms:modified xsi:type="dcterms:W3CDTF">2026-01-07T11:04:33Z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A34F4254ACB741FAB0B3BEF286888949_12</vt:lpwstr>
  </property>
</Properties>
</file>